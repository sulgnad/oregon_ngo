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_Research\URSA_26\"/>
    </mc:Choice>
  </mc:AlternateContent>
  <xr:revisionPtr revIDLastSave="0" documentId="8_{497A1182-FE8F-4D48-849E-1323B9501B0C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README" sheetId="1" r:id="rId1"/>
    <sheet name="Organizations" sheetId="2" r:id="rId2"/>
    <sheet name="Summary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7" i="3" l="1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7" i="3"/>
  <c r="B6" i="3"/>
  <c r="B5" i="3"/>
  <c r="B4" i="3"/>
</calcChain>
</file>

<file path=xl/sharedStrings.xml><?xml version="1.0" encoding="utf-8"?>
<sst xmlns="http://schemas.openxmlformats.org/spreadsheetml/2006/main" count="775" uniqueCount="513">
  <si>
    <t>Oregon Nonprofit Starter List - Mission/Values Scrape Project</t>
  </si>
  <si>
    <t>PROJECT GOAL</t>
  </si>
  <si>
    <t>Scrape values &amp; mission statements from Oregon nonprofits focused on:</t>
  </si>
  <si>
    <t xml:space="preserve">  - Sexual violence, intimate partner violence, domestic violence</t>
  </si>
  <si>
    <t xml:space="preserve">  - Housing access, short-/long-term shelter, housing security, housing stability</t>
  </si>
  <si>
    <t xml:space="preserve">  - Maternal health (pre-, peri-, post-natal care)</t>
  </si>
  <si>
    <t>Geographic scope: Eugene, Corvallis, Salem, Bend, La Grande, Medford, Portland (and surrounding counties).</t>
  </si>
  <si>
    <t>HOW THIS LIST WAS BUILT</t>
  </si>
  <si>
    <t>This is a STARTER list compiled from public directories and web searches, including:</t>
  </si>
  <si>
    <t xml:space="preserve">  - OCADSV Coalition Members directory (https://www.ocadsv.org/about-us/coalition-members/)</t>
  </si>
  <si>
    <t xml:space="preserve">  - Lane County, Marion County, Deschutes County, Jackson County, Multnomah County housing/CoC pages</t>
  </si>
  <si>
    <t xml:space="preserve">  - PSI Oregon Chapter, Trillium Doula Network listings, Oregon Midwifery Council BIPOC directory</t>
  </si>
  <si>
    <t xml:space="preserve">  - City and county government resource pages (Eugene, Salem, Bend, Medford, La Grande, Portland)</t>
  </si>
  <si>
    <t>KEYWORDS COLUMN</t>
  </si>
  <si>
    <t>Keywords are PRELIMINARY - drawn from how each org describes itself in directory listings,</t>
  </si>
  <si>
    <t>homepage copy, and 'About' snippets returned by search. They are NOT yet a full scrape</t>
  </si>
  <si>
    <t>of each org's mission/values page. That's the next step (the actual scraping tool).</t>
  </si>
  <si>
    <t>URL VERIFICATION</t>
  </si>
  <si>
    <t>URL verification pass complete (2026-04-28). All 38 entries originally flagged 'Confirm URL'</t>
  </si>
  <si>
    <t>have been verified via web search; results are recorded in the 'Verification Status' column</t>
  </si>
  <si>
    <t>on the Organizations sheet, with rows color-coded:</t>
  </si>
  <si>
    <t xml:space="preserve">  - Green = Verified (URL and location both correct)</t>
  </si>
  <si>
    <t xml:space="preserve">  - Orange = URL corrected</t>
  </si>
  <si>
    <t xml:space="preserve">  - Yellow = Location corrected</t>
  </si>
  <si>
    <t xml:space="preserve">  - Red = URL &amp; location corrected</t>
  </si>
  <si>
    <t>Summary: 24 verified as-is, 6 URL corrected, 2 location corrected, 6 had both URL and location corrected.</t>
  </si>
  <si>
    <t>Notable swap: HAVEN (The Dalles/Wasco) and Helping Hands Against Violence (Hood River/Hood River)</t>
  </si>
  <si>
    <t>had their cities flipped in the original list.</t>
  </si>
  <si>
    <t>Added one new row: El Programa Hispano Católico (EPHC) - runs UNICA, the DV/SA program</t>
  </si>
  <si>
    <t>previously associated with Catholic Charities. Independent 501(c)(3) since 2015.</t>
  </si>
  <si>
    <t>Catholic Charities of Oregon's notes/keywords updated to reflect the spin-out.</t>
  </si>
  <si>
    <t>NEXT STEPS</t>
  </si>
  <si>
    <t>1. (Optional) Run requests.head() across all URLs to catch dead domains/redirects before scraping</t>
  </si>
  <si>
    <t>2. Build the Python scraper to pull mission/values text from each URL</t>
  </si>
  <si>
    <t xml:space="preserve">   - Likely targets: /about, /about-us, /mission, /our-mission, /who-we-are, /what-we-do</t>
  </si>
  <si>
    <t xml:space="preserve">   - Use requests + BeautifulSoup; some sites may need Playwright (JS-rendered)</t>
  </si>
  <si>
    <t>3. Output enriched spreadsheet with raw mission text + extracted keywords</t>
  </si>
  <si>
    <t>DIRECTORIES TO USE FOR EXPANSION</t>
  </si>
  <si>
    <t>If you want a more exhaustive list, these directories are searchable:</t>
  </si>
  <si>
    <t xml:space="preserve">  - OCADSV Find Help: https://www.ocadsv.org/find-help/</t>
  </si>
  <si>
    <t xml:space="preserve">  - 211info Oregon: https://www.211info.org/</t>
  </si>
  <si>
    <t xml:space="preserve">  - DomesticShelters.org Oregon: https://www.domesticshelters.org/help/or</t>
  </si>
  <si>
    <t xml:space="preserve">  - Oregon Housing &amp; Community Services partners: https://www.oregon.gov/ohcs/</t>
  </si>
  <si>
    <t xml:space="preserve">  - PSI Oregon Chapter: https://psichapters.com/or/</t>
  </si>
  <si>
    <t>Organization Name</t>
  </si>
  <si>
    <t>URL</t>
  </si>
  <si>
    <t>City</t>
  </si>
  <si>
    <t>County</t>
  </si>
  <si>
    <t>Issue Area(s)</t>
  </si>
  <si>
    <t>Keywords (preliminary)</t>
  </si>
  <si>
    <t>Notes</t>
  </si>
  <si>
    <t>Verification Status</t>
  </si>
  <si>
    <t>Hope &amp; Safety Alliance (formerly Womenspace)</t>
  </si>
  <si>
    <t>https://www.hopesafetyalliance.org</t>
  </si>
  <si>
    <t>Eugene</t>
  </si>
  <si>
    <t>Lane</t>
  </si>
  <si>
    <t>DV/SV</t>
  </si>
  <si>
    <t>domestic violence; intimate partner violence; sexual assault; survivors; trauma-informed; advocacy; emergency shelter; LGBTQIA+; rural; communities of color</t>
  </si>
  <si>
    <t>OCADSV member. 24/7 crisis line. Serves all of Lane County.</t>
  </si>
  <si>
    <t>Sexual Assault Support Services (SASS)</t>
  </si>
  <si>
    <t>https://sass-lane.org</t>
  </si>
  <si>
    <t>sexual violence; sexual assault; healing; advocacy; crisis response; survivor support</t>
  </si>
  <si>
    <t>OCADSV member. URL verified (canonical: www.sass-lane.org).</t>
  </si>
  <si>
    <t>Verified</t>
  </si>
  <si>
    <t>Peace at Home Advocacy Center</t>
  </si>
  <si>
    <t>https://peaceathome.com</t>
  </si>
  <si>
    <t>Roseburg</t>
  </si>
  <si>
    <t>Douglas</t>
  </si>
  <si>
    <t>domestic violence; sexual assault; rural advocacy; safety planning; support groups</t>
  </si>
  <si>
    <t>OCADSV member (formerly Battered Persons' Advocacy). Serves Douglas County. URL verified; original spreadsheet had wrong city/county (had Cottage Grove/Lane).</t>
  </si>
  <si>
    <t>Location corrected</t>
  </si>
  <si>
    <t>The SAFE Project</t>
  </si>
  <si>
    <t>https://thesafeproject.net</t>
  </si>
  <si>
    <t>Coquille / Coos Bay</t>
  </si>
  <si>
    <t>Coos</t>
  </si>
  <si>
    <t>domestic violence; sexual assault; rural; East Lane County; advocacy</t>
  </si>
  <si>
    <t>OCADSV member. Serves Coos County. URL corrected (was thesafeprojectoregon.org); city/county corrected (was Oakridge/Lane).</t>
  </si>
  <si>
    <t>URL &amp; location corrected</t>
  </si>
  <si>
    <t>Siuslaw Outreach Services (SOS)</t>
  </si>
  <si>
    <t>https://www.siuslawoutreachservices.org</t>
  </si>
  <si>
    <t>Florence</t>
  </si>
  <si>
    <t>DV/SV; Housing</t>
  </si>
  <si>
    <t>domestic violence; emergency housing; motel vouchers; advocacy; coastal community</t>
  </si>
  <si>
    <t>OCADSV member. Also provides housing assistance.</t>
  </si>
  <si>
    <t>ShelterCare</t>
  </si>
  <si>
    <t>https://sheltercare.org</t>
  </si>
  <si>
    <t>Housing</t>
  </si>
  <si>
    <t>housing stability; behavioral health; supportive housing; homelessness prevention; medical respite; person-centered</t>
  </si>
  <si>
    <t>Programs include Garden Place, Uhlhorn, Homeless Medical Recuperation.</t>
  </si>
  <si>
    <t>Eugene Mission</t>
  </si>
  <si>
    <t>https://www.eugenemission.org</t>
  </si>
  <si>
    <t>homelessness; emergency shelter; transformation; long-term solutions; women &amp; children center</t>
  </si>
  <si>
    <t>Faith-based. Center for Women and Children program.</t>
  </si>
  <si>
    <t>St. Vincent de Paul of Lane County</t>
  </si>
  <si>
    <t>https://www.svdp.us</t>
  </si>
  <si>
    <t>affordable housing; emergency services; homelessness; veterans; emergency homeless prevention</t>
  </si>
  <si>
    <t>Major affordable housing developer in Lane County.</t>
  </si>
  <si>
    <t>SquareOne Villages</t>
  </si>
  <si>
    <t>https://www.squareonevillages.org</t>
  </si>
  <si>
    <t>transitional micro-housing; tiny homes; non-congregate shelter; self-governance; affordable permanent housing; dignity</t>
  </si>
  <si>
    <t>Operates Opportunity Village, Cottage Village Co-op, etc.</t>
  </si>
  <si>
    <t>Community Supported Shelters</t>
  </si>
  <si>
    <t>https://www.communitysupportedshelters.org</t>
  </si>
  <si>
    <t>Conestoga Hut; Safe Spot Communities; intentional community; unhoused rights; group living; peer support</t>
  </si>
  <si>
    <t>Pioneered Conestoga Hut model.</t>
  </si>
  <si>
    <t>Carry It Forward</t>
  </si>
  <si>
    <t>https://www.carryitforward.net</t>
  </si>
  <si>
    <t>unhoused outreach; year-round 24/7 shelter; lived experience employment; mutual aid; advocacy; basic needs</t>
  </si>
  <si>
    <t>Grassroots; ~31% staff with lived experience.</t>
  </si>
  <si>
    <t>WellMama</t>
  </si>
  <si>
    <t>https://www.wellmama.help</t>
  </si>
  <si>
    <t>Maternal</t>
  </si>
  <si>
    <t>perinatal mental health; postpartum depression; pregnancy support; peer support specialists; new parents; partners; loss; infertility</t>
  </si>
  <si>
    <t>OHA-certified peer support specialists. Serves Eugene/Lane area.</t>
  </si>
  <si>
    <t>Center Against Rape and Domestic Violence (CARDV)</t>
  </si>
  <si>
    <t>https://cardv.org</t>
  </si>
  <si>
    <t>Corvallis</t>
  </si>
  <si>
    <t>Benton</t>
  </si>
  <si>
    <t>rape; domestic violence; sexual assault; sex trafficking; stalking; emergency shelter; bilingual; community education; prevention curriculum</t>
  </si>
  <si>
    <t>OCADSV member. Serves Linn &amp; Benton.</t>
  </si>
  <si>
    <t>Community Outreach, Inc. (COI)</t>
  </si>
  <si>
    <t>https://communityoutreachinc.org</t>
  </si>
  <si>
    <t>transformative shelter; client-centered; behavioral health; transitional housing; homelessness; veterans; food box; mental health treatment</t>
  </si>
  <si>
    <t>Serves men, women, families.</t>
  </si>
  <si>
    <t>Corvallis Housing First (CHF)</t>
  </si>
  <si>
    <t>https://corvallishousingfirst.org</t>
  </si>
  <si>
    <t>housing first; low-barrier shelter; case management; transitional housing</t>
  </si>
  <si>
    <t>Operates Van Buren House and other low-barrier facilities. URL verified.</t>
  </si>
  <si>
    <t>Community Services Consortium (CSC)</t>
  </si>
  <si>
    <t>https://communityservices.us</t>
  </si>
  <si>
    <t>poverty; housing assistance; rent help; security deposits; eviction prevention; weatherization; food; tenant education</t>
  </si>
  <si>
    <t>Tri-county (Linn, Benton, Lincoln). Coordinated entry.</t>
  </si>
  <si>
    <t>Linn-Benton Housing Authority</t>
  </si>
  <si>
    <t>https://l-bha.org</t>
  </si>
  <si>
    <t>Albany</t>
  </si>
  <si>
    <t>Linn (serves Linn/Benton)</t>
  </si>
  <si>
    <t>affordable housing; Housing Choice Voucher; low income; public housing</t>
  </si>
  <si>
    <t>Public agency serving Linn and Benton Counties. URL corrected (correct domain has hyphen: l-bha.org); HQ is in Albany, not Corvallis.</t>
  </si>
  <si>
    <t>Benton Habitat for Humanity</t>
  </si>
  <si>
    <t>https://www.bentonhabitat.org</t>
  </si>
  <si>
    <t>affordable homeownership; sweat equity; volunteer labor; low income families</t>
  </si>
  <si>
    <t>URL verified.</t>
  </si>
  <si>
    <t>Jackson Street Youth Services</t>
  </si>
  <si>
    <t>https://www.jacksonstreet.org</t>
  </si>
  <si>
    <t>Corvallis / Albany</t>
  </si>
  <si>
    <t>Benton / Linn</t>
  </si>
  <si>
    <t>youth homelessness; runaway youth; crisis intervention; ages 10-24; emergency shelter; mentorship</t>
  </si>
  <si>
    <t>Albany House, Corvallis House.</t>
  </si>
  <si>
    <t>Albany Helping Hands</t>
  </si>
  <si>
    <t>https://albanyhelpinghands.org</t>
  </si>
  <si>
    <t>Linn</t>
  </si>
  <si>
    <t>homeless shelter; meals; family shelter; transitional housing</t>
  </si>
  <si>
    <t>Faith-based emergency shelter. URL verified.</t>
  </si>
  <si>
    <t>Center for Hope and Safety</t>
  </si>
  <si>
    <t>https://hopeandsafety.org</t>
  </si>
  <si>
    <t>Salem</t>
  </si>
  <si>
    <t>Marion</t>
  </si>
  <si>
    <t>domestic violence; sexual assault; stalking; human trafficking; emergency shelter; advocacy</t>
  </si>
  <si>
    <t>OCADSV member.</t>
  </si>
  <si>
    <t>SABLE House</t>
  </si>
  <si>
    <t>https://sablehouse.org</t>
  </si>
  <si>
    <t>Dallas</t>
  </si>
  <si>
    <t>Polk</t>
  </si>
  <si>
    <t>domestic violence; sexual assault; emergency shelter; Polk County</t>
  </si>
  <si>
    <t>OCADSV member. Serves Polk County. URL verified.</t>
  </si>
  <si>
    <t>Henderson House</t>
  </si>
  <si>
    <t>https://hendersonhouse.org</t>
  </si>
  <si>
    <t>McMinnville</t>
  </si>
  <si>
    <t>Yamhill</t>
  </si>
  <si>
    <t>domestic violence; sexual assault; emergency shelter; Yamhill County</t>
  </si>
  <si>
    <t>OCADSV member. URL verified.</t>
  </si>
  <si>
    <t>Canyon Crisis and Resource Center</t>
  </si>
  <si>
    <t>https://canyoncrisis.org</t>
  </si>
  <si>
    <t>Mill City</t>
  </si>
  <si>
    <t>Marion / Linn</t>
  </si>
  <si>
    <t>domestic violence; sexual assault; rural; canyon communities; wildfire-impacted</t>
  </si>
  <si>
    <t>OCADSV member. Serves North Santiam Canyon (Linn/Marion). URL corrected (was canyoncrisiscenter.org).</t>
  </si>
  <si>
    <t>URL corrected</t>
  </si>
  <si>
    <t>Confederated Tribes of Grand Ronde - Warriors of Hope DV Services</t>
  </si>
  <si>
    <t>https://www.grandronde.org</t>
  </si>
  <si>
    <t>Grand Ronde</t>
  </si>
  <si>
    <t>Yamhill / Polk</t>
  </si>
  <si>
    <t>tribal DV services; culturally-specific; Native; sovereignty; community-based</t>
  </si>
  <si>
    <t>OCADSV member. Tribal program.</t>
  </si>
  <si>
    <t>Mid-Willamette Valley Community Action Agency (MWVCAA) - ARCHES Project</t>
  </si>
  <si>
    <t>https://mwvcaa.org</t>
  </si>
  <si>
    <t>Marion / Polk</t>
  </si>
  <si>
    <t>homelessness; housing instability; day center; emergency shelter; outreach; warming centers</t>
  </si>
  <si>
    <t>ARCHES is the housing/outreach division.</t>
  </si>
  <si>
    <t>St. Francis Shelter</t>
  </si>
  <si>
    <t>https://www.sfssalem.org</t>
  </si>
  <si>
    <t>transitional housing; homeless families; children under 18; case management; recovery from trauma; affordable/low-income housing</t>
  </si>
  <si>
    <t>Largest unrestricted family shelter in Marion/Polk.</t>
  </si>
  <si>
    <t>Union Gospel Mission of Salem</t>
  </si>
  <si>
    <t>https://www.ugmsalem.org</t>
  </si>
  <si>
    <t>homelessness; meals; safe shelter; recovery; faith-based; women &amp; children</t>
  </si>
  <si>
    <t>Faith-based.</t>
  </si>
  <si>
    <t>Northwest Human Services (HOAP)</t>
  </si>
  <si>
    <t>https://northwesthumanservices.org</t>
  </si>
  <si>
    <t>homeless outreach; advocacy; medical; rent and financial assistance; hygiene; resource referrals</t>
  </si>
  <si>
    <t>Operates Homeless Outreach &amp; Advocacy Project (HOAP).</t>
  </si>
  <si>
    <t>Church at the Park</t>
  </si>
  <si>
    <t>https://www.church-at-the-park.org</t>
  </si>
  <si>
    <t>transitional housing; micro-shelter; homelessness; short-term services</t>
  </si>
  <si>
    <t>Operates micro-shelter villages.</t>
  </si>
  <si>
    <t>Family Promise of the Mid-Willamette Valley</t>
  </si>
  <si>
    <t>https://familypromisemwv.org</t>
  </si>
  <si>
    <t>family homelessness; emergency shelter; case management; congregational hosting</t>
  </si>
  <si>
    <t>Family-focused shelter and housing. URL verified.</t>
  </si>
  <si>
    <t>Mid-Willamette Valley Homeless Alliance</t>
  </si>
  <si>
    <t>https://mwvhomelessalliance.org</t>
  </si>
  <si>
    <t>Continuum of Care; coordinated planning; built for zero; chronic homelessness; veteran homelessness; coordinated entry</t>
  </si>
  <si>
    <t>CoC; not direct service. Useful for context.</t>
  </si>
  <si>
    <t>Compass Perinatal Peer Support</t>
  </si>
  <si>
    <t>https://compasspps.com</t>
  </si>
  <si>
    <t>Marion / Polk / Yamhill / Lincoln</t>
  </si>
  <si>
    <t>perinatal mental health; pregnancy; postpartum; peer support; PSI affiliated</t>
  </si>
  <si>
    <t>PSI Local Coordinators for the region.</t>
  </si>
  <si>
    <t>Saving Grace</t>
  </si>
  <si>
    <t>https://www.saving-grace.org</t>
  </si>
  <si>
    <t>Bend</t>
  </si>
  <si>
    <t>Deschutes / Crook / Jefferson</t>
  </si>
  <si>
    <t>intimate partner violence; sexual assault; trafficking; stalking; emergency shelter; legal advocacy; Mary's Place supervised parenting; bilingual; prevention</t>
  </si>
  <si>
    <t>OCADSV member. Tri-county Central Oregon.</t>
  </si>
  <si>
    <t>HAVEN from Domestic and Sexual Violence</t>
  </si>
  <si>
    <t>https://haventhedalles.org</t>
  </si>
  <si>
    <t>The Dalles</t>
  </si>
  <si>
    <t>Wasco (also serves Sherman/Gilliam/Wheeler)</t>
  </si>
  <si>
    <t>domestic violence; sexual violence; Columbia Gorge; advocacy; emergency response</t>
  </si>
  <si>
    <t>OCADSV member. Regional provider for Wasco/Sherman/Gilliam/Wheeler. URL corrected (was havenoregon.org); city/county corrected (HAVEN is in The Dalles, not Hood River - was swapped with HHAV).</t>
  </si>
  <si>
    <t>Helping Hands Against Violence</t>
  </si>
  <si>
    <t>https://www.helpinghandsoregon.org</t>
  </si>
  <si>
    <t>Hood River</t>
  </si>
  <si>
    <t>domestic violence; sexual violence; rural; Columbia Gorge</t>
  </si>
  <si>
    <t>OCADSV member. Operates Chrysalis House shelter. URL corrected (was hhav.org); city/county corrected (HHAV is in Hood River, not The Dalles - was swapped with HAVEN).</t>
  </si>
  <si>
    <t>Bethlehem Inn</t>
  </si>
  <si>
    <t>https://bethleheminn.org</t>
  </si>
  <si>
    <t>Deschutes</t>
  </si>
  <si>
    <t>emergency shelter; high-barrier; nourishing meals; case management; adults and children; Central Oregon homelessness</t>
  </si>
  <si>
    <t>Community-supported emergency shelter.</t>
  </si>
  <si>
    <t>HousingWorks</t>
  </si>
  <si>
    <t>https://housing-works.org</t>
  </si>
  <si>
    <t>affordable housing; Central Oregon; 900 units; 27 properties; low-income housing</t>
  </si>
  <si>
    <t>Largest affordable housing provider in Central Oregon.</t>
  </si>
  <si>
    <t>REACH (Reach Out Central Oregon)</t>
  </si>
  <si>
    <t>https://www.reachoutcentraloregon.org</t>
  </si>
  <si>
    <t>outreach; safe parking program; mobile case management; trauma-informed; basic needs; vulnerable populations</t>
  </si>
  <si>
    <t>Operates Safe Parking Program.</t>
  </si>
  <si>
    <t>Shepherd's House Ministries</t>
  </si>
  <si>
    <t>https://shepherdshouseministries.org</t>
  </si>
  <si>
    <t>Bend / Redmond</t>
  </si>
  <si>
    <t>homelessness; recovery; faith-based; men/women shelters; transitional housing</t>
  </si>
  <si>
    <t>Faith-based homeless services and recovery. URL verified.</t>
  </si>
  <si>
    <t>NeighborImpact</t>
  </si>
  <si>
    <t>https://www.neighborimpact.org</t>
  </si>
  <si>
    <t>Redmond</t>
  </si>
  <si>
    <t>low-barrier emergency shelter; supportive services; Central Oregon Coordinated Entry; food bank; energy assistance</t>
  </si>
  <si>
    <t>Tri-county Community Action Agency.</t>
  </si>
  <si>
    <t>Fuse Housing Collaborative</t>
  </si>
  <si>
    <t>https://www.centraloregonfuse.org</t>
  </si>
  <si>
    <t>permanent supportive housing; chronic homelessness; disability; complex health conditions; barrier busting</t>
  </si>
  <si>
    <t>Permanent supportive housing focus.</t>
  </si>
  <si>
    <t>Central Oregon Veterans Outreach (COVO)</t>
  </si>
  <si>
    <t>https://covo-us.org</t>
  </si>
  <si>
    <t>veterans; homelessness; outreach; basic needs; propane/tents/sleeping bags</t>
  </si>
  <si>
    <t>Veteran-focused; also serves non-veteran homeless. URL verified.</t>
  </si>
  <si>
    <t>Thrive Central Oregon</t>
  </si>
  <si>
    <t>https://thrivecentraloregon.org</t>
  </si>
  <si>
    <t>navigation; benefits enrollment; resource connection; housing stability</t>
  </si>
  <si>
    <t>Resource navigation/case management for housing and basic needs. URL verified.</t>
  </si>
  <si>
    <t>Community Works</t>
  </si>
  <si>
    <t>https://www.community-works.org</t>
  </si>
  <si>
    <t>Medford</t>
  </si>
  <si>
    <t>Jackson</t>
  </si>
  <si>
    <t>domestic violence; sexual assault; homeless youth; teens and young adults 18-23; Dunn House Emergency Housing; advocacy</t>
  </si>
  <si>
    <t>OCADSV member. Operates Dunn House shelter; also serves homeless youth. URL verified.</t>
  </si>
  <si>
    <t>Women's Crisis Support Team (WCST)</t>
  </si>
  <si>
    <t>https://www.wcstjoco.org</t>
  </si>
  <si>
    <t>Grants Pass</t>
  </si>
  <si>
    <t>Josephine</t>
  </si>
  <si>
    <t>domestic violence; sexual assault; advocacy; intervention; 24/7 crisis hotline; safety planning; restraining orders</t>
  </si>
  <si>
    <t>OCADSV member. Operates Talsunne Safe House. URL corrected (was wcst.org).</t>
  </si>
  <si>
    <t>New Beginnings Intervention Center</t>
  </si>
  <si>
    <t>https://www.newbeginningsinterventioncenter.com</t>
  </si>
  <si>
    <t>Christmas Valley</t>
  </si>
  <si>
    <t>Lake</t>
  </si>
  <si>
    <t>domestic violence; intervention; survivor support</t>
  </si>
  <si>
    <t>OCADSV member. Serves Lake County. URL corrected (was newbeginnings4women.com); city/county corrected (was Grants Pass/Josephine).</t>
  </si>
  <si>
    <t>Dove Advocacy Center</t>
  </si>
  <si>
    <t>https://lakecountycrisiscenter.org</t>
  </si>
  <si>
    <t>Lakeview</t>
  </si>
  <si>
    <t>domestic violence; sexual violence; rural; Lake County</t>
  </si>
  <si>
    <t>OCADSV member (formerly Lake County Crisis Center). URL verified.</t>
  </si>
  <si>
    <t>Illinois Valley Safe House Alliance (IVSHA)</t>
  </si>
  <si>
    <t>https://www.ivsha.org</t>
  </si>
  <si>
    <t>Cave Junction</t>
  </si>
  <si>
    <t>domestic violence; safe house; rural Josephine County</t>
  </si>
  <si>
    <t>OCADSV member. Serves Illinois Valley/Josephine County. URL corrected (was ivsafehouse.org).</t>
  </si>
  <si>
    <t>Klamath Advocacy Center</t>
  </si>
  <si>
    <t>https://klamathadvocacycenter.org</t>
  </si>
  <si>
    <t>Klamath Falls</t>
  </si>
  <si>
    <t>Klamath</t>
  </si>
  <si>
    <t>domestic violence; sexual assault; advocacy</t>
  </si>
  <si>
    <t>OCADSV member. Sister program: Marta's House shelter. URL verified.</t>
  </si>
  <si>
    <t>ACCESS Inc.</t>
  </si>
  <si>
    <t>https://accesshelps.org</t>
  </si>
  <si>
    <t>housing; affordable housing; severe weather shelter; veteran housing; rental assistance; homeownership counseling; emergency homeless prevention</t>
  </si>
  <si>
    <t>Jackson County Community Action Agency.</t>
  </si>
  <si>
    <t>Hearts with a Mission</t>
  </si>
  <si>
    <t>https://heartswithamission.org</t>
  </si>
  <si>
    <t>Medford / Grants Pass</t>
  </si>
  <si>
    <t>Jackson / Josephine</t>
  </si>
  <si>
    <t>youth shelter; transitional living; ages 10-22; mentoring; independent living; Hearts for Seniors</t>
  </si>
  <si>
    <t>Youth-focused shelter.</t>
  </si>
  <si>
    <t>Salvation Army Medford - Hope House</t>
  </si>
  <si>
    <t>https://jacksoncounty.salvationarmy.org/medford</t>
  </si>
  <si>
    <t>transitional living; homelessness; drug and alcohol-free; single men/women/families; restoration</t>
  </si>
  <si>
    <t>Rogue Retreat</t>
  </si>
  <si>
    <t>https://rogueretreat.org</t>
  </si>
  <si>
    <t>housing first; tiny house villages; low barrier shelters; campgrounds; Kelly Shelter; Hope Village; medical respite; supportive services</t>
  </si>
  <si>
    <t>Multiple shelter formats.</t>
  </si>
  <si>
    <t>Maslow Project</t>
  </si>
  <si>
    <t>https://maslowproject.com</t>
  </si>
  <si>
    <t>youth homelessness; school-based; basic needs; case management</t>
  </si>
  <si>
    <t>Youth-focused (homeless youth ages 0-21). Serves Jackson and Josephine Counties. URL verified.</t>
  </si>
  <si>
    <t>OHRA (Options for Helping Residents of Ashland)</t>
  </si>
  <si>
    <t>https://ohrahelps.org</t>
  </si>
  <si>
    <t>Ashland</t>
  </si>
  <si>
    <t>low income; resource navigation; eviction prevention; benefits; year-round shelter; shower trailer; self-sufficiency</t>
  </si>
  <si>
    <t>Resource center + low-barrier shelter.</t>
  </si>
  <si>
    <t>Shelter from the Storm</t>
  </si>
  <si>
    <t>https://www.unioncountysfs.org</t>
  </si>
  <si>
    <t>La Grande</t>
  </si>
  <si>
    <t>Union</t>
  </si>
  <si>
    <t>domestic violence; sexual violence; survivors; counseling; AIR Program; legal advocacy; food pantry; peer support groups; rural</t>
  </si>
  <si>
    <t>MayDay, Inc.</t>
  </si>
  <si>
    <t>https://www.maydayinc.net</t>
  </si>
  <si>
    <t>Baker City</t>
  </si>
  <si>
    <t>Baker</t>
  </si>
  <si>
    <t>domestic violence; sexual assault; advocacy; rural; Eastern Oregon</t>
  </si>
  <si>
    <t>OCADSV member. Serves Baker County. URL corrected (was maydayinc.org); city/county corrected (was Pendleton/Umatilla).</t>
  </si>
  <si>
    <t>Domestic Violence Services, Inc. (DVS)</t>
  </si>
  <si>
    <t>https://www.dvs-or.org</t>
  </si>
  <si>
    <t>Pendleton / Hermiston</t>
  </si>
  <si>
    <t>Umatilla / Morrow</t>
  </si>
  <si>
    <t>domestic violence; sexual assault; Umatilla and Morrow counties</t>
  </si>
  <si>
    <t>OCADSV member. Serves Umatilla/Morrow Counties. URL verified.</t>
  </si>
  <si>
    <t>Heart of Grant County</t>
  </si>
  <si>
    <t>https://heartofgrantcounty.org</t>
  </si>
  <si>
    <t>John Day</t>
  </si>
  <si>
    <t>Grant</t>
  </si>
  <si>
    <t>domestic violence; rural advocacy; very rural Eastern Oregon</t>
  </si>
  <si>
    <t>OCADSV member. URL verified (per Grant County Chamber listing email domain).</t>
  </si>
  <si>
    <t>Safe Harbors</t>
  </si>
  <si>
    <t>https://safeharbors.org</t>
  </si>
  <si>
    <t>Enterprise</t>
  </si>
  <si>
    <t>Wallowa</t>
  </si>
  <si>
    <t>domestic violence; sexual assault; rural; Wallowa County</t>
  </si>
  <si>
    <t>OCADSV member. Currently facing federal grant shortfall (Dec 2025). URL corrected (was safeharborsinc.org).</t>
  </si>
  <si>
    <t>Northeast Oregon Housing Authority (NEOHA)</t>
  </si>
  <si>
    <t>https://www.neoha.org</t>
  </si>
  <si>
    <t>Union / Baker / Grant / Wallowa</t>
  </si>
  <si>
    <t>affordable housing; Housing Choice Vouchers; homelessness prevention; housing stability supports; homeownership; rural Eastern Oregon</t>
  </si>
  <si>
    <t>Public housing authority for 4-county region.</t>
  </si>
  <si>
    <t>Community Connection of Northeast Oregon</t>
  </si>
  <si>
    <t>https://ccno.org</t>
  </si>
  <si>
    <t>Union / Baker / Wallowa / Grant</t>
  </si>
  <si>
    <t>community action; housing; aging; food; weatherization; energy; rural</t>
  </si>
  <si>
    <t>Community Action Agency for Baker/Grant/Union/Wallowa Counties. URL verified.</t>
  </si>
  <si>
    <t>Housing Matters Union County (HMUC)</t>
  </si>
  <si>
    <t>https://www.hmucoregon.org</t>
  </si>
  <si>
    <t>housing access; housing security; housing stability; collaboration; community partnerships</t>
  </si>
  <si>
    <t>Started by Zion Lutheran Church + community partners.</t>
  </si>
  <si>
    <t>Bradley Angle</t>
  </si>
  <si>
    <t>https://www.bradleyangle.org</t>
  </si>
  <si>
    <t>Portland</t>
  </si>
  <si>
    <t>Multnomah</t>
  </si>
  <si>
    <t>domestic violence; LGBTQIA+ culturally-specific; Healing Roots (Black/African American); Kinship Program; emergency shelter; economic empowerment; intergenerational trauma</t>
  </si>
  <si>
    <t>OCADSV member. First DV shelter on West Coast.</t>
  </si>
  <si>
    <t>Raphael House of Portland</t>
  </si>
  <si>
    <t>https://raphaelhouse.com</t>
  </si>
  <si>
    <t>domestic and sexual violence; emergency shelter; transitional housing; Shelter to Stability (S2S); DV recovery mentors; in-school confidential advocacy; community-based education</t>
  </si>
  <si>
    <t>Sexual Assault Resource Center (SARC)</t>
  </si>
  <si>
    <t>https://www.sarcoregon.org</t>
  </si>
  <si>
    <t>Beaverton</t>
  </si>
  <si>
    <t>Washington</t>
  </si>
  <si>
    <t>sexual assault; survivor advocacy; Reclaim/Reclama art project; healing</t>
  </si>
  <si>
    <t>Clackamas Women's Services (CWS)</t>
  </si>
  <si>
    <t>https://www.cwsor.org</t>
  </si>
  <si>
    <t>Oregon City</t>
  </si>
  <si>
    <t>Clackamas</t>
  </si>
  <si>
    <t>domestic violence; sexual violence; self-empowerment; women and children; lives free of violence</t>
  </si>
  <si>
    <t>OCADSV member. Operates A Safe Place Family Justice Center. URL verified.</t>
  </si>
  <si>
    <t>Domestic Violence Resource Center (DVRC)</t>
  </si>
  <si>
    <t>https://dvrc-or.org</t>
  </si>
  <si>
    <t>Hillsboro / Beaverton</t>
  </si>
  <si>
    <t>domestic violence; safe and healthy relationships; advocacy; emergency response; Monika's House</t>
  </si>
  <si>
    <t>OCADSV member. Operates Monika's House shelter. URL verified.</t>
  </si>
  <si>
    <t>Volunteers of America Oregon - Home Free</t>
  </si>
  <si>
    <t>https://www.voaor.org</t>
  </si>
  <si>
    <t>domestic violence; family recovery; housing assistance; rehabilitation; job assistance; CourtCare drop-in childcare; in-school advocacy</t>
  </si>
  <si>
    <t>IRCO - Refugee and Immigrant Family Strengthening (RIFS)</t>
  </si>
  <si>
    <t>https://www.irco.org</t>
  </si>
  <si>
    <t>refugee; immigrant; culturally-specific; family strengthening; domestic violence</t>
  </si>
  <si>
    <t>OCADSV member. RIFS is the DV program within IRCO.</t>
  </si>
  <si>
    <t>Impact NW - Parent Child Therapeutic Services</t>
  </si>
  <si>
    <t>https://impactnw.org</t>
  </si>
  <si>
    <t>parent-child therapy; domestic violence; trauma; family support; housing stability</t>
  </si>
  <si>
    <t>OCADSV member. Multi-service org.</t>
  </si>
  <si>
    <t>FinAbility</t>
  </si>
  <si>
    <t>https://www.finability.org</t>
  </si>
  <si>
    <t>Lake Oswego</t>
  </si>
  <si>
    <t>financial empowerment; economic abuse; survivors; disability</t>
  </si>
  <si>
    <t>Survivor-founded; financial empowerment for DV survivors. URL verified; HQ is in Lake Oswego (Clackamas), not Multnomah/Portland.</t>
  </si>
  <si>
    <t>Self-Enhancement, Inc. (SEI) - DV Program</t>
  </si>
  <si>
    <t>https://www.selfenhancement.org</t>
  </si>
  <si>
    <t>Black/African American culturally-specific; domestic violence; youth and family</t>
  </si>
  <si>
    <t>Salvation Army West Women's and Children's Shelter</t>
  </si>
  <si>
    <t>https://westernusa.salvationarmy.org</t>
  </si>
  <si>
    <t>domestic violence shelter; women and children; basic needs; financial wellness; tenant education</t>
  </si>
  <si>
    <t>YWCA of Greater Portland - Yolanda Project / Gateway Center</t>
  </si>
  <si>
    <t>https://www.ywcapdx.org</t>
  </si>
  <si>
    <t>domestic violence; rapid re-housing; eviction prevention; address confidentiality; housing advocacy; survivor housing stability</t>
  </si>
  <si>
    <t>Yolanda Project provides DV housing/advocacy; Yolanda House emergency shelter closed 2013. URL verified.</t>
  </si>
  <si>
    <t>Central City Concern</t>
  </si>
  <si>
    <t>https://centralcityconcern.org</t>
  </si>
  <si>
    <t>affordable housing; homelessness; recovery; healthcare; employment; integrated services; long-term change</t>
  </si>
  <si>
    <t>Major Portland CoC partner.</t>
  </si>
  <si>
    <t>Our Just Future (formerly Human Solutions)</t>
  </si>
  <si>
    <t>https://ourjustfuture.org</t>
  </si>
  <si>
    <t>Portland (East)</t>
  </si>
  <si>
    <t>affordable housing; eviction prevention; homeless families shelter; transitional housing; Housing First; economic justice; East Portland</t>
  </si>
  <si>
    <t>Major East Portland housing org.</t>
  </si>
  <si>
    <t>Do Good Multnomah</t>
  </si>
  <si>
    <t>https://www.dogoodmultnomah.org</t>
  </si>
  <si>
    <t>low-barrier shelter; veterans; trauma-informed design; motel shelters; voluntary isolation; St. Johns Village</t>
  </si>
  <si>
    <t>Veteran-focused; multiple shelter sites.</t>
  </si>
  <si>
    <t>Transition Projects</t>
  </si>
  <si>
    <t>https://www.tprojects.org</t>
  </si>
  <si>
    <t>homelessness; emergency shelter; resource center; veterans; housing placement</t>
  </si>
  <si>
    <t>Largest provider of homeless services in Multnomah County (8 shelters + housing). URL verified.</t>
  </si>
  <si>
    <t>Blanchet House</t>
  </si>
  <si>
    <t>https://blanchethouse.org</t>
  </si>
  <si>
    <t>meal services; transitional housing; necessities; community</t>
  </si>
  <si>
    <t>Meals + housing program.</t>
  </si>
  <si>
    <t>JOIN</t>
  </si>
  <si>
    <t>https://joinpdx.org</t>
  </si>
  <si>
    <t>outreach; housing placement; day center; showers; laundry</t>
  </si>
  <si>
    <t>Relationship-based housing placement; runs Dayspace drop-in. URL verified.</t>
  </si>
  <si>
    <t>Catholic Charities of Oregon</t>
  </si>
  <si>
    <t>https://www.catholiccharitiesoregon.org</t>
  </si>
  <si>
    <t>Housing; DV/SV</t>
  </si>
  <si>
    <t>housing; legal services; immigration; refugee resettlement; food assistance</t>
  </si>
  <si>
    <t>URL verified. NOTE: El Programa Hispano UNICA (DV/SA program) spun out as a separate 501(c)(3) in 2015 - see EPHC row below. CCO itself runs refugee resettlement, housing, legal/immigration services.</t>
  </si>
  <si>
    <t>El Programa Hispano Católico (EPHC)</t>
  </si>
  <si>
    <t>https://elprograma.org</t>
  </si>
  <si>
    <t>Gresham / Portland</t>
  </si>
  <si>
    <t>DV/SV; Housing; Maternal/Family</t>
  </si>
  <si>
    <t>Latine community; bilingual/bicultural; UNICA (24/7 DV/SA crisis line); economic sustainability; eviction prevention; housing services; community wellness; education; sex trafficking intervention</t>
  </si>
  <si>
    <t>Independent 501(c)(3) since 2015 (originated 1982 within Catholic Charities of Oregon). Operates UNICA - Oregon's first fully bilingual/bicultural DV/SA program. Serves ~32,000 Latine individuals annually. Key org for Spanish-speaking survivors. URL verified.</t>
  </si>
  <si>
    <t>Verified (manually added)</t>
  </si>
  <si>
    <t>Northwest Pilot Project</t>
  </si>
  <si>
    <t>https://nwpilotproject.org</t>
  </si>
  <si>
    <t>elderly housing; very-low-income seniors; rental assistance; social services</t>
  </si>
  <si>
    <t>Senior-focused (55+) housing services in Multnomah County. URL verified.</t>
  </si>
  <si>
    <t>Portland Rescue Mission</t>
  </si>
  <si>
    <t>https://portlandrescuemission.org</t>
  </si>
  <si>
    <t>meals; emergency shelter; recovery; faith-based</t>
  </si>
  <si>
    <t>Postpartum Support International (PSI)</t>
  </si>
  <si>
    <t>https://postpartum.net</t>
  </si>
  <si>
    <t>Multnomah (HQ)</t>
  </si>
  <si>
    <t>perinatal mental health; postpartum depression; postpartum anxiety; awareness; advocacy; helpline; volunteer coordinators</t>
  </si>
  <si>
    <t>Global org HQ'd in Portland.</t>
  </si>
  <si>
    <t>Community Doula Alliance</t>
  </si>
  <si>
    <t>https://communitydoulaalliance.com</t>
  </si>
  <si>
    <t>BIPOC doulas; racial equity; reproductive justice; maternal/infant health outcomes; culturally-specific care; doula training</t>
  </si>
  <si>
    <t>Black women-led 501(c)(3).</t>
  </si>
  <si>
    <t>Black Parent Initiative - Sacred Roots Doulas</t>
  </si>
  <si>
    <t>https://www.thebpi.org</t>
  </si>
  <si>
    <t>Black/Multi-Ethnic families; community doulas; prenatal/labor/postpartum; culturally-specific; advocacy</t>
  </si>
  <si>
    <t>Sacred Roots is BPI's doula program.</t>
  </si>
  <si>
    <t>Brief Encounters</t>
  </si>
  <si>
    <t>https://www.briefencounters.org</t>
  </si>
  <si>
    <t>pregnancy and infant loss; bereavement support; peer support; meetings</t>
  </si>
  <si>
    <t>Pregnancy/infant loss support. URL corrected (was briefencountersnw.org).</t>
  </si>
  <si>
    <t>Healthy Birth Initiatives (Multnomah County)</t>
  </si>
  <si>
    <t>https://multco.us/services/healthy-birth-initiatives</t>
  </si>
  <si>
    <t>African/African American maternal health; prenatal; postpartum; childbirth education; father involvement; HBI</t>
  </si>
  <si>
    <t>County program (not 501c3) but operates community-facing programming.</t>
  </si>
  <si>
    <t>Doula Love Training Center</t>
  </si>
  <si>
    <t>https://portlanddoulalove.com</t>
  </si>
  <si>
    <t>doula training; BIPOC scholarships; rural communities; full spectrum; lactation</t>
  </si>
  <si>
    <t>Doula training/certification.</t>
  </si>
  <si>
    <t>Oregon Doula Association</t>
  </si>
  <si>
    <t>https://ordoulas.org</t>
  </si>
  <si>
    <t>Portland (statewide)</t>
  </si>
  <si>
    <t>professional doulas; statewide; advocacy; OHP; certification</t>
  </si>
  <si>
    <t>Statewide professional org for doulas. URL corrected (was oregondoulas.org).</t>
  </si>
  <si>
    <t>Oregon Midwifery Council</t>
  </si>
  <si>
    <t>https://oregonmidwiferycouncil.org</t>
  </si>
  <si>
    <t>Statewide</t>
  </si>
  <si>
    <t>—</t>
  </si>
  <si>
    <t>midwifery; BIPOC providers; LDM/CNM/ND; community-based birth; OOH midwives</t>
  </si>
  <si>
    <t>Statewide professional org.</t>
  </si>
  <si>
    <t>Summary by issue area</t>
  </si>
  <si>
    <t>Issue Area</t>
  </si>
  <si>
    <t>Count</t>
  </si>
  <si>
    <t>DV/SV (any)</t>
  </si>
  <si>
    <t>Housing (any)</t>
  </si>
  <si>
    <t>Maternal (any)</t>
  </si>
  <si>
    <t>Total entries</t>
  </si>
  <si>
    <t>Summary by county</t>
  </si>
  <si>
    <t>Umatilla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</si>
</sst>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5E8D4"/>
        <bgColor rgb="FFCCFFFF"/>
      </patternFill>
    </fill>
    <fill>
      <patternFill patternType="solid">
        <fgColor rgb="FFFFF2CC"/>
        <bgColor rgb="FFFFE6CC"/>
      </patternFill>
    </fill>
    <fill>
      <patternFill patternType="solid">
        <fgColor rgb="FFF8CECC"/>
        <bgColor rgb="FFFFE6CC"/>
      </patternFill>
    </fill>
    <fill>
      <patternFill patternType="solid">
        <fgColor rgb="FFFFE6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8D4"/>
      <rgbColor rgb="FFFFE6CC"/>
      <rgbColor rgb="FF99CCFF"/>
      <rgbColor rgb="FFFF99CC"/>
      <rgbColor rgb="FFCC99FF"/>
      <rgbColor rgb="FFF8CECC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1"/>
  <sheetViews>
    <sheetView zoomScaleNormal="100" workbookViewId="0"/>
  </sheetViews>
  <sheetFormatPr defaultColWidth="8.6640625" defaultRowHeight="14.4" x14ac:dyDescent="0.3"/>
  <cols>
    <col min="1" max="1" width="110" customWidth="1"/>
  </cols>
  <sheetData>
    <row r="1" spans="1:1" ht="15" customHeight="1" x14ac:dyDescent="0.3">
      <c r="A1" t="s">
        <v>0</v>
      </c>
    </row>
    <row r="3" spans="1:1" ht="15" customHeight="1" x14ac:dyDescent="0.3">
      <c r="A3" t="s">
        <v>1</v>
      </c>
    </row>
    <row r="4" spans="1:1" ht="15" customHeight="1" x14ac:dyDescent="0.3">
      <c r="A4" t="s">
        <v>2</v>
      </c>
    </row>
    <row r="5" spans="1:1" ht="15" customHeight="1" x14ac:dyDescent="0.3">
      <c r="A5" t="s">
        <v>3</v>
      </c>
    </row>
    <row r="6" spans="1:1" ht="15" customHeight="1" x14ac:dyDescent="0.3">
      <c r="A6" t="s">
        <v>4</v>
      </c>
    </row>
    <row r="7" spans="1:1" ht="15" customHeight="1" x14ac:dyDescent="0.3">
      <c r="A7" t="s">
        <v>5</v>
      </c>
    </row>
    <row r="8" spans="1:1" ht="15" customHeight="1" x14ac:dyDescent="0.3">
      <c r="A8" t="s">
        <v>6</v>
      </c>
    </row>
    <row r="10" spans="1:1" ht="15" customHeight="1" x14ac:dyDescent="0.3">
      <c r="A10" t="s">
        <v>7</v>
      </c>
    </row>
    <row r="11" spans="1:1" ht="15" customHeight="1" x14ac:dyDescent="0.3">
      <c r="A11" t="s">
        <v>8</v>
      </c>
    </row>
    <row r="12" spans="1:1" ht="15" customHeight="1" x14ac:dyDescent="0.3">
      <c r="A12" t="s">
        <v>9</v>
      </c>
    </row>
    <row r="13" spans="1:1" ht="15" customHeight="1" x14ac:dyDescent="0.3">
      <c r="A13" t="s">
        <v>10</v>
      </c>
    </row>
    <row r="14" spans="1:1" ht="15" customHeight="1" x14ac:dyDescent="0.3">
      <c r="A14" t="s">
        <v>11</v>
      </c>
    </row>
    <row r="15" spans="1:1" ht="15" customHeight="1" x14ac:dyDescent="0.3">
      <c r="A15" t="s">
        <v>12</v>
      </c>
    </row>
    <row r="17" spans="1:1" ht="15" customHeight="1" x14ac:dyDescent="0.3">
      <c r="A17" t="s">
        <v>13</v>
      </c>
    </row>
    <row r="18" spans="1:1" ht="15" customHeight="1" x14ac:dyDescent="0.3">
      <c r="A18" t="s">
        <v>14</v>
      </c>
    </row>
    <row r="19" spans="1:1" ht="15" customHeight="1" x14ac:dyDescent="0.3">
      <c r="A19" t="s">
        <v>15</v>
      </c>
    </row>
    <row r="20" spans="1:1" ht="15" customHeight="1" x14ac:dyDescent="0.3">
      <c r="A20" t="s">
        <v>16</v>
      </c>
    </row>
    <row r="22" spans="1:1" ht="15" customHeight="1" x14ac:dyDescent="0.3">
      <c r="A22" t="s">
        <v>17</v>
      </c>
    </row>
    <row r="23" spans="1:1" ht="15" customHeight="1" x14ac:dyDescent="0.3">
      <c r="A23" t="s">
        <v>18</v>
      </c>
    </row>
    <row r="24" spans="1:1" ht="15" customHeight="1" x14ac:dyDescent="0.3">
      <c r="A24" t="s">
        <v>19</v>
      </c>
    </row>
    <row r="25" spans="1:1" ht="15" customHeight="1" x14ac:dyDescent="0.3">
      <c r="A25" t="s">
        <v>20</v>
      </c>
    </row>
    <row r="26" spans="1:1" ht="15" customHeight="1" x14ac:dyDescent="0.3">
      <c r="A26" t="s">
        <v>21</v>
      </c>
    </row>
    <row r="27" spans="1:1" ht="15" customHeight="1" x14ac:dyDescent="0.3">
      <c r="A27" t="s">
        <v>22</v>
      </c>
    </row>
    <row r="28" spans="1:1" ht="15" customHeight="1" x14ac:dyDescent="0.3">
      <c r="A28" t="s">
        <v>23</v>
      </c>
    </row>
    <row r="29" spans="1:1" ht="15" customHeight="1" x14ac:dyDescent="0.3">
      <c r="A29" t="s">
        <v>24</v>
      </c>
    </row>
    <row r="30" spans="1:1" ht="15" customHeight="1" x14ac:dyDescent="0.3">
      <c r="A30" t="s">
        <v>25</v>
      </c>
    </row>
    <row r="31" spans="1:1" ht="15" customHeight="1" x14ac:dyDescent="0.3">
      <c r="A31" t="s">
        <v>26</v>
      </c>
    </row>
    <row r="32" spans="1:1" ht="15" customHeight="1" x14ac:dyDescent="0.3">
      <c r="A32" t="s">
        <v>27</v>
      </c>
    </row>
    <row r="34" spans="1:1" ht="15" customHeight="1" x14ac:dyDescent="0.3">
      <c r="A34" t="s">
        <v>28</v>
      </c>
    </row>
    <row r="35" spans="1:1" ht="15" customHeight="1" x14ac:dyDescent="0.3">
      <c r="A35" t="s">
        <v>29</v>
      </c>
    </row>
    <row r="36" spans="1:1" ht="15" customHeight="1" x14ac:dyDescent="0.3">
      <c r="A36" t="s">
        <v>30</v>
      </c>
    </row>
    <row r="38" spans="1:1" ht="15" customHeight="1" x14ac:dyDescent="0.3">
      <c r="A38" t="s">
        <v>31</v>
      </c>
    </row>
    <row r="39" spans="1:1" ht="15" customHeight="1" x14ac:dyDescent="0.3">
      <c r="A39" t="s">
        <v>32</v>
      </c>
    </row>
    <row r="40" spans="1:1" ht="15" customHeight="1" x14ac:dyDescent="0.3">
      <c r="A40" t="s">
        <v>33</v>
      </c>
    </row>
    <row r="41" spans="1:1" ht="15" customHeight="1" x14ac:dyDescent="0.3">
      <c r="A41" t="s">
        <v>34</v>
      </c>
    </row>
    <row r="42" spans="1:1" ht="15" customHeight="1" x14ac:dyDescent="0.3">
      <c r="A42" t="s">
        <v>35</v>
      </c>
    </row>
    <row r="43" spans="1:1" ht="15" customHeight="1" x14ac:dyDescent="0.3">
      <c r="A43" t="s">
        <v>36</v>
      </c>
    </row>
    <row r="45" spans="1:1" ht="15" customHeight="1" x14ac:dyDescent="0.3">
      <c r="A45" t="s">
        <v>37</v>
      </c>
    </row>
    <row r="46" spans="1:1" ht="15" customHeight="1" x14ac:dyDescent="0.3">
      <c r="A46" t="s">
        <v>38</v>
      </c>
    </row>
    <row r="47" spans="1:1" ht="15" customHeight="1" x14ac:dyDescent="0.3">
      <c r="A47" t="s">
        <v>39</v>
      </c>
    </row>
    <row r="48" spans="1:1" ht="15" customHeight="1" x14ac:dyDescent="0.3">
      <c r="A48" t="s">
        <v>40</v>
      </c>
    </row>
    <row r="49" spans="1:1" ht="15" customHeight="1" x14ac:dyDescent="0.3">
      <c r="A49" t="s">
        <v>41</v>
      </c>
    </row>
    <row r="50" spans="1:1" ht="15" customHeight="1" x14ac:dyDescent="0.3">
      <c r="A50" t="s">
        <v>42</v>
      </c>
    </row>
    <row r="51" spans="1:1" ht="15" customHeight="1" x14ac:dyDescent="0.3">
      <c r="A51" t="s">
        <v>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7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38" customWidth="1"/>
    <col min="2" max="2" width="40" customWidth="1"/>
    <col min="3" max="3" width="22" customWidth="1"/>
    <col min="4" max="4" width="28" customWidth="1"/>
    <col min="5" max="5" width="22" customWidth="1"/>
    <col min="6" max="6" width="50" customWidth="1"/>
    <col min="7" max="7" width="60" customWidth="1"/>
    <col min="8" max="8" width="26" customWidth="1"/>
  </cols>
  <sheetData>
    <row r="1" spans="1:8" ht="15" customHeight="1" x14ac:dyDescent="0.3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</row>
    <row r="2" spans="1:8" ht="41.25" customHeight="1" x14ac:dyDescent="0.3">
      <c r="A2" s="2" t="s">
        <v>52</v>
      </c>
      <c r="B2" s="2" t="s">
        <v>53</v>
      </c>
      <c r="C2" s="2" t="s">
        <v>54</v>
      </c>
      <c r="D2" s="2" t="s">
        <v>55</v>
      </c>
      <c r="E2" s="2" t="s">
        <v>56</v>
      </c>
      <c r="F2" s="2" t="s">
        <v>57</v>
      </c>
      <c r="G2" s="2" t="s">
        <v>58</v>
      </c>
      <c r="H2" s="2"/>
    </row>
    <row r="3" spans="1:8" ht="27.75" customHeight="1" x14ac:dyDescent="0.3">
      <c r="A3" s="3" t="s">
        <v>59</v>
      </c>
      <c r="B3" s="3" t="s">
        <v>60</v>
      </c>
      <c r="C3" s="3" t="s">
        <v>54</v>
      </c>
      <c r="D3" s="3" t="s">
        <v>55</v>
      </c>
      <c r="E3" s="3" t="s">
        <v>56</v>
      </c>
      <c r="F3" s="3" t="s">
        <v>61</v>
      </c>
      <c r="G3" s="3" t="s">
        <v>62</v>
      </c>
      <c r="H3" s="3" t="s">
        <v>63</v>
      </c>
    </row>
    <row r="4" spans="1:8" ht="41.25" customHeight="1" x14ac:dyDescent="0.3">
      <c r="A4" s="4" t="s">
        <v>64</v>
      </c>
      <c r="B4" s="4" t="s">
        <v>65</v>
      </c>
      <c r="C4" s="4" t="s">
        <v>66</v>
      </c>
      <c r="D4" s="4" t="s">
        <v>67</v>
      </c>
      <c r="E4" s="4" t="s">
        <v>56</v>
      </c>
      <c r="F4" s="4" t="s">
        <v>68</v>
      </c>
      <c r="G4" s="4" t="s">
        <v>69</v>
      </c>
      <c r="H4" s="4" t="s">
        <v>70</v>
      </c>
    </row>
    <row r="5" spans="1:8" ht="41.25" customHeight="1" x14ac:dyDescent="0.3">
      <c r="A5" s="5" t="s">
        <v>71</v>
      </c>
      <c r="B5" s="5" t="s">
        <v>72</v>
      </c>
      <c r="C5" s="5" t="s">
        <v>73</v>
      </c>
      <c r="D5" s="5" t="s">
        <v>74</v>
      </c>
      <c r="E5" s="5" t="s">
        <v>56</v>
      </c>
      <c r="F5" s="5" t="s">
        <v>75</v>
      </c>
      <c r="G5" s="5" t="s">
        <v>76</v>
      </c>
      <c r="H5" s="5" t="s">
        <v>77</v>
      </c>
    </row>
    <row r="6" spans="1:8" ht="27.75" customHeight="1" x14ac:dyDescent="0.3">
      <c r="A6" s="2" t="s">
        <v>78</v>
      </c>
      <c r="B6" s="2" t="s">
        <v>79</v>
      </c>
      <c r="C6" s="2" t="s">
        <v>80</v>
      </c>
      <c r="D6" s="2" t="s">
        <v>55</v>
      </c>
      <c r="E6" s="2" t="s">
        <v>81</v>
      </c>
      <c r="F6" s="2" t="s">
        <v>82</v>
      </c>
      <c r="G6" s="2" t="s">
        <v>83</v>
      </c>
      <c r="H6" s="2"/>
    </row>
    <row r="7" spans="1:8" ht="41.25" customHeight="1" x14ac:dyDescent="0.3">
      <c r="A7" s="2" t="s">
        <v>84</v>
      </c>
      <c r="B7" s="2" t="s">
        <v>85</v>
      </c>
      <c r="C7" s="2" t="s">
        <v>54</v>
      </c>
      <c r="D7" s="2" t="s">
        <v>55</v>
      </c>
      <c r="E7" s="2" t="s">
        <v>86</v>
      </c>
      <c r="F7" s="2" t="s">
        <v>87</v>
      </c>
      <c r="G7" s="2" t="s">
        <v>88</v>
      </c>
      <c r="H7" s="2"/>
    </row>
    <row r="8" spans="1:8" ht="27.75" customHeight="1" x14ac:dyDescent="0.3">
      <c r="A8" s="2" t="s">
        <v>89</v>
      </c>
      <c r="B8" s="2" t="s">
        <v>90</v>
      </c>
      <c r="C8" s="2" t="s">
        <v>54</v>
      </c>
      <c r="D8" s="2" t="s">
        <v>55</v>
      </c>
      <c r="E8" s="2" t="s">
        <v>86</v>
      </c>
      <c r="F8" s="2" t="s">
        <v>91</v>
      </c>
      <c r="G8" s="2" t="s">
        <v>92</v>
      </c>
      <c r="H8" s="2"/>
    </row>
    <row r="9" spans="1:8" ht="27.75" customHeight="1" x14ac:dyDescent="0.3">
      <c r="A9" s="2" t="s">
        <v>93</v>
      </c>
      <c r="B9" s="2" t="s">
        <v>94</v>
      </c>
      <c r="C9" s="2" t="s">
        <v>54</v>
      </c>
      <c r="D9" s="2" t="s">
        <v>55</v>
      </c>
      <c r="E9" s="2" t="s">
        <v>86</v>
      </c>
      <c r="F9" s="2" t="s">
        <v>95</v>
      </c>
      <c r="G9" s="2" t="s">
        <v>96</v>
      </c>
      <c r="H9" s="2"/>
    </row>
    <row r="10" spans="1:8" ht="41.25" customHeight="1" x14ac:dyDescent="0.3">
      <c r="A10" s="2" t="s">
        <v>97</v>
      </c>
      <c r="B10" s="2" t="s">
        <v>98</v>
      </c>
      <c r="C10" s="2" t="s">
        <v>54</v>
      </c>
      <c r="D10" s="2" t="s">
        <v>55</v>
      </c>
      <c r="E10" s="2" t="s">
        <v>86</v>
      </c>
      <c r="F10" s="2" t="s">
        <v>99</v>
      </c>
      <c r="G10" s="2" t="s">
        <v>100</v>
      </c>
      <c r="H10" s="2"/>
    </row>
    <row r="11" spans="1:8" ht="27.75" customHeight="1" x14ac:dyDescent="0.3">
      <c r="A11" s="2" t="s">
        <v>101</v>
      </c>
      <c r="B11" s="2" t="s">
        <v>102</v>
      </c>
      <c r="C11" s="2" t="s">
        <v>54</v>
      </c>
      <c r="D11" s="2" t="s">
        <v>55</v>
      </c>
      <c r="E11" s="2" t="s">
        <v>86</v>
      </c>
      <c r="F11" s="2" t="s">
        <v>103</v>
      </c>
      <c r="G11" s="2" t="s">
        <v>104</v>
      </c>
      <c r="H11" s="2"/>
    </row>
    <row r="12" spans="1:8" ht="41.25" customHeight="1" x14ac:dyDescent="0.3">
      <c r="A12" s="2" t="s">
        <v>105</v>
      </c>
      <c r="B12" s="2" t="s">
        <v>106</v>
      </c>
      <c r="C12" s="2" t="s">
        <v>54</v>
      </c>
      <c r="D12" s="2" t="s">
        <v>55</v>
      </c>
      <c r="E12" s="2" t="s">
        <v>86</v>
      </c>
      <c r="F12" s="2" t="s">
        <v>107</v>
      </c>
      <c r="G12" s="2" t="s">
        <v>108</v>
      </c>
      <c r="H12" s="2"/>
    </row>
    <row r="13" spans="1:8" ht="41.25" customHeight="1" x14ac:dyDescent="0.3">
      <c r="A13" s="2" t="s">
        <v>109</v>
      </c>
      <c r="B13" s="2" t="s">
        <v>110</v>
      </c>
      <c r="C13" s="2" t="s">
        <v>54</v>
      </c>
      <c r="D13" s="2" t="s">
        <v>55</v>
      </c>
      <c r="E13" s="2" t="s">
        <v>111</v>
      </c>
      <c r="F13" s="2" t="s">
        <v>112</v>
      </c>
      <c r="G13" s="2" t="s">
        <v>113</v>
      </c>
      <c r="H13" s="2"/>
    </row>
    <row r="14" spans="1:8" ht="41.25" customHeight="1" x14ac:dyDescent="0.3">
      <c r="A14" s="2" t="s">
        <v>114</v>
      </c>
      <c r="B14" s="2" t="s">
        <v>115</v>
      </c>
      <c r="C14" s="2" t="s">
        <v>116</v>
      </c>
      <c r="D14" s="2" t="s">
        <v>117</v>
      </c>
      <c r="E14" s="2" t="s">
        <v>56</v>
      </c>
      <c r="F14" s="2" t="s">
        <v>118</v>
      </c>
      <c r="G14" s="2" t="s">
        <v>119</v>
      </c>
      <c r="H14" s="2"/>
    </row>
    <row r="15" spans="1:8" ht="41.25" customHeight="1" x14ac:dyDescent="0.3">
      <c r="A15" s="2" t="s">
        <v>120</v>
      </c>
      <c r="B15" s="2" t="s">
        <v>121</v>
      </c>
      <c r="C15" s="2" t="s">
        <v>116</v>
      </c>
      <c r="D15" s="2" t="s">
        <v>117</v>
      </c>
      <c r="E15" s="2" t="s">
        <v>86</v>
      </c>
      <c r="F15" s="2" t="s">
        <v>122</v>
      </c>
      <c r="G15" s="2" t="s">
        <v>123</v>
      </c>
      <c r="H15" s="2"/>
    </row>
    <row r="16" spans="1:8" ht="27.75" customHeight="1" x14ac:dyDescent="0.3">
      <c r="A16" s="3" t="s">
        <v>124</v>
      </c>
      <c r="B16" s="3" t="s">
        <v>125</v>
      </c>
      <c r="C16" s="3" t="s">
        <v>116</v>
      </c>
      <c r="D16" s="3" t="s">
        <v>117</v>
      </c>
      <c r="E16" s="3" t="s">
        <v>86</v>
      </c>
      <c r="F16" s="3" t="s">
        <v>126</v>
      </c>
      <c r="G16" s="3" t="s">
        <v>127</v>
      </c>
      <c r="H16" s="3" t="s">
        <v>63</v>
      </c>
    </row>
    <row r="17" spans="1:8" ht="41.25" customHeight="1" x14ac:dyDescent="0.3">
      <c r="A17" s="2" t="s">
        <v>128</v>
      </c>
      <c r="B17" s="2" t="s">
        <v>129</v>
      </c>
      <c r="C17" s="2" t="s">
        <v>116</v>
      </c>
      <c r="D17" s="2" t="s">
        <v>117</v>
      </c>
      <c r="E17" s="2" t="s">
        <v>86</v>
      </c>
      <c r="F17" s="2" t="s">
        <v>130</v>
      </c>
      <c r="G17" s="2" t="s">
        <v>131</v>
      </c>
      <c r="H17" s="2"/>
    </row>
    <row r="18" spans="1:8" ht="27.75" customHeight="1" x14ac:dyDescent="0.3">
      <c r="A18" s="5" t="s">
        <v>132</v>
      </c>
      <c r="B18" s="5" t="s">
        <v>133</v>
      </c>
      <c r="C18" s="5" t="s">
        <v>134</v>
      </c>
      <c r="D18" s="5" t="s">
        <v>135</v>
      </c>
      <c r="E18" s="5" t="s">
        <v>86</v>
      </c>
      <c r="F18" s="5" t="s">
        <v>136</v>
      </c>
      <c r="G18" s="5" t="s">
        <v>137</v>
      </c>
      <c r="H18" s="5" t="s">
        <v>77</v>
      </c>
    </row>
    <row r="19" spans="1:8" ht="27.75" customHeight="1" x14ac:dyDescent="0.3">
      <c r="A19" s="3" t="s">
        <v>138</v>
      </c>
      <c r="B19" s="3" t="s">
        <v>139</v>
      </c>
      <c r="C19" s="3" t="s">
        <v>116</v>
      </c>
      <c r="D19" s="3" t="s">
        <v>117</v>
      </c>
      <c r="E19" s="3" t="s">
        <v>86</v>
      </c>
      <c r="F19" s="3" t="s">
        <v>140</v>
      </c>
      <c r="G19" s="3" t="s">
        <v>141</v>
      </c>
      <c r="H19" s="3" t="s">
        <v>63</v>
      </c>
    </row>
    <row r="20" spans="1:8" ht="27.75" customHeight="1" x14ac:dyDescent="0.3">
      <c r="A20" s="2" t="s">
        <v>142</v>
      </c>
      <c r="B20" s="2" t="s">
        <v>143</v>
      </c>
      <c r="C20" s="2" t="s">
        <v>144</v>
      </c>
      <c r="D20" s="2" t="s">
        <v>145</v>
      </c>
      <c r="E20" s="2" t="s">
        <v>86</v>
      </c>
      <c r="F20" s="2" t="s">
        <v>146</v>
      </c>
      <c r="G20" s="2" t="s">
        <v>147</v>
      </c>
      <c r="H20" s="2"/>
    </row>
    <row r="21" spans="1:8" ht="27.75" customHeight="1" x14ac:dyDescent="0.3">
      <c r="A21" s="3" t="s">
        <v>148</v>
      </c>
      <c r="B21" s="3" t="s">
        <v>149</v>
      </c>
      <c r="C21" s="3" t="s">
        <v>134</v>
      </c>
      <c r="D21" s="3" t="s">
        <v>150</v>
      </c>
      <c r="E21" s="3" t="s">
        <v>86</v>
      </c>
      <c r="F21" s="3" t="s">
        <v>151</v>
      </c>
      <c r="G21" s="3" t="s">
        <v>152</v>
      </c>
      <c r="H21" s="3" t="s">
        <v>63</v>
      </c>
    </row>
    <row r="22" spans="1:8" ht="27.75" customHeight="1" x14ac:dyDescent="0.3">
      <c r="A22" s="2" t="s">
        <v>153</v>
      </c>
      <c r="B22" s="2" t="s">
        <v>154</v>
      </c>
      <c r="C22" s="2" t="s">
        <v>155</v>
      </c>
      <c r="D22" s="2" t="s">
        <v>156</v>
      </c>
      <c r="E22" s="2" t="s">
        <v>56</v>
      </c>
      <c r="F22" s="2" t="s">
        <v>157</v>
      </c>
      <c r="G22" s="2" t="s">
        <v>158</v>
      </c>
      <c r="H22" s="2"/>
    </row>
    <row r="23" spans="1:8" ht="27.75" customHeight="1" x14ac:dyDescent="0.3">
      <c r="A23" s="3" t="s">
        <v>159</v>
      </c>
      <c r="B23" s="3" t="s">
        <v>160</v>
      </c>
      <c r="C23" s="3" t="s">
        <v>161</v>
      </c>
      <c r="D23" s="3" t="s">
        <v>162</v>
      </c>
      <c r="E23" s="3" t="s">
        <v>56</v>
      </c>
      <c r="F23" s="3" t="s">
        <v>163</v>
      </c>
      <c r="G23" s="3" t="s">
        <v>164</v>
      </c>
      <c r="H23" s="3" t="s">
        <v>63</v>
      </c>
    </row>
    <row r="24" spans="1:8" ht="27.75" customHeight="1" x14ac:dyDescent="0.3">
      <c r="A24" s="3" t="s">
        <v>165</v>
      </c>
      <c r="B24" s="3" t="s">
        <v>166</v>
      </c>
      <c r="C24" s="3" t="s">
        <v>167</v>
      </c>
      <c r="D24" s="3" t="s">
        <v>168</v>
      </c>
      <c r="E24" s="3" t="s">
        <v>56</v>
      </c>
      <c r="F24" s="3" t="s">
        <v>169</v>
      </c>
      <c r="G24" s="3" t="s">
        <v>170</v>
      </c>
      <c r="H24" s="3" t="s">
        <v>63</v>
      </c>
    </row>
    <row r="25" spans="1:8" ht="27.75" customHeight="1" x14ac:dyDescent="0.3">
      <c r="A25" s="6" t="s">
        <v>171</v>
      </c>
      <c r="B25" s="6" t="s">
        <v>172</v>
      </c>
      <c r="C25" s="6" t="s">
        <v>173</v>
      </c>
      <c r="D25" s="6" t="s">
        <v>174</v>
      </c>
      <c r="E25" s="6" t="s">
        <v>56</v>
      </c>
      <c r="F25" s="6" t="s">
        <v>175</v>
      </c>
      <c r="G25" s="6" t="s">
        <v>176</v>
      </c>
      <c r="H25" s="6" t="s">
        <v>177</v>
      </c>
    </row>
    <row r="26" spans="1:8" ht="27.75" customHeight="1" x14ac:dyDescent="0.3">
      <c r="A26" s="2" t="s">
        <v>178</v>
      </c>
      <c r="B26" s="2" t="s">
        <v>179</v>
      </c>
      <c r="C26" s="2" t="s">
        <v>180</v>
      </c>
      <c r="D26" s="2" t="s">
        <v>181</v>
      </c>
      <c r="E26" s="2" t="s">
        <v>56</v>
      </c>
      <c r="F26" s="2" t="s">
        <v>182</v>
      </c>
      <c r="G26" s="2" t="s">
        <v>183</v>
      </c>
      <c r="H26" s="2"/>
    </row>
    <row r="27" spans="1:8" ht="27.75" customHeight="1" x14ac:dyDescent="0.3">
      <c r="A27" s="2" t="s">
        <v>184</v>
      </c>
      <c r="B27" s="2" t="s">
        <v>185</v>
      </c>
      <c r="C27" s="2" t="s">
        <v>155</v>
      </c>
      <c r="D27" s="2" t="s">
        <v>186</v>
      </c>
      <c r="E27" s="2" t="s">
        <v>86</v>
      </c>
      <c r="F27" s="2" t="s">
        <v>187</v>
      </c>
      <c r="G27" s="2" t="s">
        <v>188</v>
      </c>
      <c r="H27" s="2"/>
    </row>
    <row r="28" spans="1:8" ht="41.25" customHeight="1" x14ac:dyDescent="0.3">
      <c r="A28" s="2" t="s">
        <v>189</v>
      </c>
      <c r="B28" s="2" t="s">
        <v>190</v>
      </c>
      <c r="C28" s="2" t="s">
        <v>155</v>
      </c>
      <c r="D28" s="2" t="s">
        <v>186</v>
      </c>
      <c r="E28" s="2" t="s">
        <v>86</v>
      </c>
      <c r="F28" s="2" t="s">
        <v>191</v>
      </c>
      <c r="G28" s="2" t="s">
        <v>192</v>
      </c>
      <c r="H28" s="2"/>
    </row>
    <row r="29" spans="1:8" ht="27.75" customHeight="1" x14ac:dyDescent="0.3">
      <c r="A29" s="2" t="s">
        <v>193</v>
      </c>
      <c r="B29" s="2" t="s">
        <v>194</v>
      </c>
      <c r="C29" s="2" t="s">
        <v>155</v>
      </c>
      <c r="D29" s="2" t="s">
        <v>156</v>
      </c>
      <c r="E29" s="2" t="s">
        <v>86</v>
      </c>
      <c r="F29" s="2" t="s">
        <v>195</v>
      </c>
      <c r="G29" s="2" t="s">
        <v>196</v>
      </c>
      <c r="H29" s="2"/>
    </row>
    <row r="30" spans="1:8" ht="27.75" customHeight="1" x14ac:dyDescent="0.3">
      <c r="A30" s="2" t="s">
        <v>197</v>
      </c>
      <c r="B30" s="2" t="s">
        <v>198</v>
      </c>
      <c r="C30" s="2" t="s">
        <v>155</v>
      </c>
      <c r="D30" s="2" t="s">
        <v>186</v>
      </c>
      <c r="E30" s="2" t="s">
        <v>86</v>
      </c>
      <c r="F30" s="2" t="s">
        <v>199</v>
      </c>
      <c r="G30" s="2" t="s">
        <v>200</v>
      </c>
      <c r="H30" s="2"/>
    </row>
    <row r="31" spans="1:8" ht="27.75" customHeight="1" x14ac:dyDescent="0.3">
      <c r="A31" s="2" t="s">
        <v>201</v>
      </c>
      <c r="B31" s="2" t="s">
        <v>202</v>
      </c>
      <c r="C31" s="2" t="s">
        <v>155</v>
      </c>
      <c r="D31" s="2" t="s">
        <v>156</v>
      </c>
      <c r="E31" s="2" t="s">
        <v>86</v>
      </c>
      <c r="F31" s="2" t="s">
        <v>203</v>
      </c>
      <c r="G31" s="2" t="s">
        <v>204</v>
      </c>
      <c r="H31" s="2"/>
    </row>
    <row r="32" spans="1:8" ht="27.75" customHeight="1" x14ac:dyDescent="0.3">
      <c r="A32" s="3" t="s">
        <v>205</v>
      </c>
      <c r="B32" s="3" t="s">
        <v>206</v>
      </c>
      <c r="C32" s="3" t="s">
        <v>155</v>
      </c>
      <c r="D32" s="3" t="s">
        <v>186</v>
      </c>
      <c r="E32" s="3" t="s">
        <v>86</v>
      </c>
      <c r="F32" s="3" t="s">
        <v>207</v>
      </c>
      <c r="G32" s="3" t="s">
        <v>208</v>
      </c>
      <c r="H32" s="3" t="s">
        <v>63</v>
      </c>
    </row>
    <row r="33" spans="1:8" ht="41.25" customHeight="1" x14ac:dyDescent="0.3">
      <c r="A33" s="2" t="s">
        <v>209</v>
      </c>
      <c r="B33" s="2" t="s">
        <v>210</v>
      </c>
      <c r="C33" s="2" t="s">
        <v>155</v>
      </c>
      <c r="D33" s="2" t="s">
        <v>186</v>
      </c>
      <c r="E33" s="2" t="s">
        <v>86</v>
      </c>
      <c r="F33" s="2" t="s">
        <v>211</v>
      </c>
      <c r="G33" s="2" t="s">
        <v>212</v>
      </c>
      <c r="H33" s="2"/>
    </row>
    <row r="34" spans="1:8" ht="27.75" customHeight="1" x14ac:dyDescent="0.3">
      <c r="A34" s="2" t="s">
        <v>213</v>
      </c>
      <c r="B34" s="2" t="s">
        <v>214</v>
      </c>
      <c r="C34" s="2" t="s">
        <v>155</v>
      </c>
      <c r="D34" s="2" t="s">
        <v>215</v>
      </c>
      <c r="E34" s="2" t="s">
        <v>111</v>
      </c>
      <c r="F34" s="2" t="s">
        <v>216</v>
      </c>
      <c r="G34" s="2" t="s">
        <v>217</v>
      </c>
      <c r="H34" s="2"/>
    </row>
    <row r="35" spans="1:8" ht="41.25" customHeight="1" x14ac:dyDescent="0.3">
      <c r="A35" s="2" t="s">
        <v>218</v>
      </c>
      <c r="B35" s="2" t="s">
        <v>219</v>
      </c>
      <c r="C35" s="2" t="s">
        <v>220</v>
      </c>
      <c r="D35" s="2" t="s">
        <v>221</v>
      </c>
      <c r="E35" s="2" t="s">
        <v>56</v>
      </c>
      <c r="F35" s="2" t="s">
        <v>222</v>
      </c>
      <c r="G35" s="2" t="s">
        <v>223</v>
      </c>
      <c r="H35" s="2"/>
    </row>
    <row r="36" spans="1:8" ht="54.75" customHeight="1" x14ac:dyDescent="0.3">
      <c r="A36" s="5" t="s">
        <v>224</v>
      </c>
      <c r="B36" s="5" t="s">
        <v>225</v>
      </c>
      <c r="C36" s="5" t="s">
        <v>226</v>
      </c>
      <c r="D36" s="5" t="s">
        <v>227</v>
      </c>
      <c r="E36" s="5" t="s">
        <v>56</v>
      </c>
      <c r="F36" s="5" t="s">
        <v>228</v>
      </c>
      <c r="G36" s="5" t="s">
        <v>229</v>
      </c>
      <c r="H36" s="5" t="s">
        <v>77</v>
      </c>
    </row>
    <row r="37" spans="1:8" ht="41.25" customHeight="1" x14ac:dyDescent="0.3">
      <c r="A37" s="5" t="s">
        <v>230</v>
      </c>
      <c r="B37" s="5" t="s">
        <v>231</v>
      </c>
      <c r="C37" s="5" t="s">
        <v>232</v>
      </c>
      <c r="D37" s="5" t="s">
        <v>232</v>
      </c>
      <c r="E37" s="5" t="s">
        <v>56</v>
      </c>
      <c r="F37" s="5" t="s">
        <v>233</v>
      </c>
      <c r="G37" s="5" t="s">
        <v>234</v>
      </c>
      <c r="H37" s="5" t="s">
        <v>77</v>
      </c>
    </row>
    <row r="38" spans="1:8" ht="41.25" customHeight="1" x14ac:dyDescent="0.3">
      <c r="A38" s="2" t="s">
        <v>235</v>
      </c>
      <c r="B38" s="2" t="s">
        <v>236</v>
      </c>
      <c r="C38" s="2" t="s">
        <v>220</v>
      </c>
      <c r="D38" s="2" t="s">
        <v>237</v>
      </c>
      <c r="E38" s="2" t="s">
        <v>86</v>
      </c>
      <c r="F38" s="2" t="s">
        <v>238</v>
      </c>
      <c r="G38" s="2" t="s">
        <v>239</v>
      </c>
      <c r="H38" s="2"/>
    </row>
    <row r="39" spans="1:8" ht="27.75" customHeight="1" x14ac:dyDescent="0.3">
      <c r="A39" s="2" t="s">
        <v>240</v>
      </c>
      <c r="B39" s="2" t="s">
        <v>241</v>
      </c>
      <c r="C39" s="2" t="s">
        <v>220</v>
      </c>
      <c r="D39" s="2" t="s">
        <v>237</v>
      </c>
      <c r="E39" s="2" t="s">
        <v>86</v>
      </c>
      <c r="F39" s="2" t="s">
        <v>242</v>
      </c>
      <c r="G39" s="2" t="s">
        <v>243</v>
      </c>
      <c r="H39" s="2"/>
    </row>
    <row r="40" spans="1:8" ht="41.25" customHeight="1" x14ac:dyDescent="0.3">
      <c r="A40" s="2" t="s">
        <v>244</v>
      </c>
      <c r="B40" s="2" t="s">
        <v>245</v>
      </c>
      <c r="C40" s="2" t="s">
        <v>220</v>
      </c>
      <c r="D40" s="2" t="s">
        <v>237</v>
      </c>
      <c r="E40" s="2" t="s">
        <v>86</v>
      </c>
      <c r="F40" s="2" t="s">
        <v>246</v>
      </c>
      <c r="G40" s="2" t="s">
        <v>247</v>
      </c>
      <c r="H40" s="2"/>
    </row>
    <row r="41" spans="1:8" ht="27.75" customHeight="1" x14ac:dyDescent="0.3">
      <c r="A41" s="3" t="s">
        <v>248</v>
      </c>
      <c r="B41" s="3" t="s">
        <v>249</v>
      </c>
      <c r="C41" s="3" t="s">
        <v>250</v>
      </c>
      <c r="D41" s="3" t="s">
        <v>237</v>
      </c>
      <c r="E41" s="3" t="s">
        <v>86</v>
      </c>
      <c r="F41" s="3" t="s">
        <v>251</v>
      </c>
      <c r="G41" s="3" t="s">
        <v>252</v>
      </c>
      <c r="H41" s="3" t="s">
        <v>63</v>
      </c>
    </row>
    <row r="42" spans="1:8" ht="41.25" customHeight="1" x14ac:dyDescent="0.3">
      <c r="A42" s="2" t="s">
        <v>253</v>
      </c>
      <c r="B42" s="2" t="s">
        <v>254</v>
      </c>
      <c r="C42" s="2" t="s">
        <v>255</v>
      </c>
      <c r="D42" s="2" t="s">
        <v>221</v>
      </c>
      <c r="E42" s="2" t="s">
        <v>86</v>
      </c>
      <c r="F42" s="2" t="s">
        <v>256</v>
      </c>
      <c r="G42" s="2" t="s">
        <v>257</v>
      </c>
      <c r="H42" s="2"/>
    </row>
    <row r="43" spans="1:8" ht="27.75" customHeight="1" x14ac:dyDescent="0.3">
      <c r="A43" s="2" t="s">
        <v>258</v>
      </c>
      <c r="B43" s="2" t="s">
        <v>259</v>
      </c>
      <c r="C43" s="2" t="s">
        <v>220</v>
      </c>
      <c r="D43" s="2" t="s">
        <v>221</v>
      </c>
      <c r="E43" s="2" t="s">
        <v>86</v>
      </c>
      <c r="F43" s="2" t="s">
        <v>260</v>
      </c>
      <c r="G43" s="2" t="s">
        <v>261</v>
      </c>
      <c r="H43" s="2"/>
    </row>
    <row r="44" spans="1:8" ht="27.75" customHeight="1" x14ac:dyDescent="0.3">
      <c r="A44" s="3" t="s">
        <v>262</v>
      </c>
      <c r="B44" s="3" t="s">
        <v>263</v>
      </c>
      <c r="C44" s="3" t="s">
        <v>220</v>
      </c>
      <c r="D44" s="3" t="s">
        <v>237</v>
      </c>
      <c r="E44" s="3" t="s">
        <v>86</v>
      </c>
      <c r="F44" s="3" t="s">
        <v>264</v>
      </c>
      <c r="G44" s="3" t="s">
        <v>265</v>
      </c>
      <c r="H44" s="3" t="s">
        <v>63</v>
      </c>
    </row>
    <row r="45" spans="1:8" ht="27.75" customHeight="1" x14ac:dyDescent="0.3">
      <c r="A45" s="3" t="s">
        <v>266</v>
      </c>
      <c r="B45" s="3" t="s">
        <v>267</v>
      </c>
      <c r="C45" s="3" t="s">
        <v>220</v>
      </c>
      <c r="D45" s="3" t="s">
        <v>237</v>
      </c>
      <c r="E45" s="3" t="s">
        <v>86</v>
      </c>
      <c r="F45" s="3" t="s">
        <v>268</v>
      </c>
      <c r="G45" s="3" t="s">
        <v>269</v>
      </c>
      <c r="H45" s="3" t="s">
        <v>63</v>
      </c>
    </row>
    <row r="46" spans="1:8" ht="41.25" customHeight="1" x14ac:dyDescent="0.3">
      <c r="A46" s="3" t="s">
        <v>270</v>
      </c>
      <c r="B46" s="3" t="s">
        <v>271</v>
      </c>
      <c r="C46" s="3" t="s">
        <v>272</v>
      </c>
      <c r="D46" s="3" t="s">
        <v>273</v>
      </c>
      <c r="E46" s="3" t="s">
        <v>81</v>
      </c>
      <c r="F46" s="3" t="s">
        <v>274</v>
      </c>
      <c r="G46" s="3" t="s">
        <v>275</v>
      </c>
      <c r="H46" s="3" t="s">
        <v>63</v>
      </c>
    </row>
    <row r="47" spans="1:8" ht="27.75" customHeight="1" x14ac:dyDescent="0.3">
      <c r="A47" s="6" t="s">
        <v>276</v>
      </c>
      <c r="B47" s="6" t="s">
        <v>277</v>
      </c>
      <c r="C47" s="6" t="s">
        <v>278</v>
      </c>
      <c r="D47" s="6" t="s">
        <v>279</v>
      </c>
      <c r="E47" s="6" t="s">
        <v>56</v>
      </c>
      <c r="F47" s="6" t="s">
        <v>280</v>
      </c>
      <c r="G47" s="6" t="s">
        <v>281</v>
      </c>
      <c r="H47" s="6" t="s">
        <v>177</v>
      </c>
    </row>
    <row r="48" spans="1:8" ht="41.25" customHeight="1" x14ac:dyDescent="0.3">
      <c r="A48" s="5" t="s">
        <v>282</v>
      </c>
      <c r="B48" s="5" t="s">
        <v>283</v>
      </c>
      <c r="C48" s="5" t="s">
        <v>284</v>
      </c>
      <c r="D48" s="5" t="s">
        <v>285</v>
      </c>
      <c r="E48" s="5" t="s">
        <v>56</v>
      </c>
      <c r="F48" s="5" t="s">
        <v>286</v>
      </c>
      <c r="G48" s="5" t="s">
        <v>287</v>
      </c>
      <c r="H48" s="5" t="s">
        <v>77</v>
      </c>
    </row>
    <row r="49" spans="1:8" ht="15" customHeight="1" x14ac:dyDescent="0.3">
      <c r="A49" s="3" t="s">
        <v>288</v>
      </c>
      <c r="B49" s="3" t="s">
        <v>289</v>
      </c>
      <c r="C49" s="3" t="s">
        <v>290</v>
      </c>
      <c r="D49" s="3" t="s">
        <v>285</v>
      </c>
      <c r="E49" s="3" t="s">
        <v>56</v>
      </c>
      <c r="F49" s="3" t="s">
        <v>291</v>
      </c>
      <c r="G49" s="3" t="s">
        <v>292</v>
      </c>
      <c r="H49" s="3" t="s">
        <v>63</v>
      </c>
    </row>
    <row r="50" spans="1:8" ht="27.75" customHeight="1" x14ac:dyDescent="0.3">
      <c r="A50" s="6" t="s">
        <v>293</v>
      </c>
      <c r="B50" s="6" t="s">
        <v>294</v>
      </c>
      <c r="C50" s="6" t="s">
        <v>295</v>
      </c>
      <c r="D50" s="6" t="s">
        <v>279</v>
      </c>
      <c r="E50" s="6" t="s">
        <v>56</v>
      </c>
      <c r="F50" s="6" t="s">
        <v>296</v>
      </c>
      <c r="G50" s="6" t="s">
        <v>297</v>
      </c>
      <c r="H50" s="6" t="s">
        <v>177</v>
      </c>
    </row>
    <row r="51" spans="1:8" ht="27.75" customHeight="1" x14ac:dyDescent="0.3">
      <c r="A51" s="3" t="s">
        <v>298</v>
      </c>
      <c r="B51" s="3" t="s">
        <v>299</v>
      </c>
      <c r="C51" s="3" t="s">
        <v>300</v>
      </c>
      <c r="D51" s="3" t="s">
        <v>301</v>
      </c>
      <c r="E51" s="3" t="s">
        <v>56</v>
      </c>
      <c r="F51" s="3" t="s">
        <v>302</v>
      </c>
      <c r="G51" s="3" t="s">
        <v>303</v>
      </c>
      <c r="H51" s="3" t="s">
        <v>63</v>
      </c>
    </row>
    <row r="52" spans="1:8" ht="41.25" customHeight="1" x14ac:dyDescent="0.3">
      <c r="A52" s="2" t="s">
        <v>304</v>
      </c>
      <c r="B52" s="2" t="s">
        <v>305</v>
      </c>
      <c r="C52" s="2" t="s">
        <v>272</v>
      </c>
      <c r="D52" s="2" t="s">
        <v>273</v>
      </c>
      <c r="E52" s="2" t="s">
        <v>86</v>
      </c>
      <c r="F52" s="2" t="s">
        <v>306</v>
      </c>
      <c r="G52" s="2" t="s">
        <v>307</v>
      </c>
      <c r="H52" s="2"/>
    </row>
    <row r="53" spans="1:8" ht="27.75" customHeight="1" x14ac:dyDescent="0.3">
      <c r="A53" s="2" t="s">
        <v>308</v>
      </c>
      <c r="B53" s="2" t="s">
        <v>309</v>
      </c>
      <c r="C53" s="2" t="s">
        <v>310</v>
      </c>
      <c r="D53" s="2" t="s">
        <v>311</v>
      </c>
      <c r="E53" s="2" t="s">
        <v>86</v>
      </c>
      <c r="F53" s="2" t="s">
        <v>312</v>
      </c>
      <c r="G53" s="2" t="s">
        <v>313</v>
      </c>
      <c r="H53" s="2"/>
    </row>
    <row r="54" spans="1:8" ht="27.75" customHeight="1" x14ac:dyDescent="0.3">
      <c r="A54" s="2" t="s">
        <v>314</v>
      </c>
      <c r="B54" s="2" t="s">
        <v>315</v>
      </c>
      <c r="C54" s="2" t="s">
        <v>272</v>
      </c>
      <c r="D54" s="2" t="s">
        <v>273</v>
      </c>
      <c r="E54" s="2" t="s">
        <v>86</v>
      </c>
      <c r="F54" s="2" t="s">
        <v>316</v>
      </c>
      <c r="G54" s="2" t="s">
        <v>196</v>
      </c>
      <c r="H54" s="2"/>
    </row>
    <row r="55" spans="1:8" ht="41.25" customHeight="1" x14ac:dyDescent="0.3">
      <c r="A55" s="2" t="s">
        <v>317</v>
      </c>
      <c r="B55" s="2" t="s">
        <v>318</v>
      </c>
      <c r="C55" s="2" t="s">
        <v>272</v>
      </c>
      <c r="D55" s="2" t="s">
        <v>273</v>
      </c>
      <c r="E55" s="2" t="s">
        <v>86</v>
      </c>
      <c r="F55" s="2" t="s">
        <v>319</v>
      </c>
      <c r="G55" s="2" t="s">
        <v>320</v>
      </c>
      <c r="H55" s="2"/>
    </row>
    <row r="56" spans="1:8" ht="27.75" customHeight="1" x14ac:dyDescent="0.3">
      <c r="A56" s="3" t="s">
        <v>321</v>
      </c>
      <c r="B56" s="3" t="s">
        <v>322</v>
      </c>
      <c r="C56" s="3" t="s">
        <v>272</v>
      </c>
      <c r="D56" s="3" t="s">
        <v>273</v>
      </c>
      <c r="E56" s="3" t="s">
        <v>86</v>
      </c>
      <c r="F56" s="3" t="s">
        <v>323</v>
      </c>
      <c r="G56" s="3" t="s">
        <v>324</v>
      </c>
      <c r="H56" s="3" t="s">
        <v>63</v>
      </c>
    </row>
    <row r="57" spans="1:8" ht="41.25" customHeight="1" x14ac:dyDescent="0.3">
      <c r="A57" s="2" t="s">
        <v>325</v>
      </c>
      <c r="B57" s="2" t="s">
        <v>326</v>
      </c>
      <c r="C57" s="2" t="s">
        <v>327</v>
      </c>
      <c r="D57" s="2" t="s">
        <v>273</v>
      </c>
      <c r="E57" s="2" t="s">
        <v>86</v>
      </c>
      <c r="F57" s="2" t="s">
        <v>328</v>
      </c>
      <c r="G57" s="2" t="s">
        <v>329</v>
      </c>
      <c r="H57" s="2"/>
    </row>
    <row r="58" spans="1:8" ht="41.25" customHeight="1" x14ac:dyDescent="0.3">
      <c r="A58" s="2" t="s">
        <v>330</v>
      </c>
      <c r="B58" s="2" t="s">
        <v>331</v>
      </c>
      <c r="C58" s="2" t="s">
        <v>332</v>
      </c>
      <c r="D58" s="2" t="s">
        <v>333</v>
      </c>
      <c r="E58" s="2" t="s">
        <v>56</v>
      </c>
      <c r="F58" s="2" t="s">
        <v>334</v>
      </c>
      <c r="G58" s="2" t="s">
        <v>158</v>
      </c>
      <c r="H58" s="2"/>
    </row>
    <row r="59" spans="1:8" ht="27.75" customHeight="1" x14ac:dyDescent="0.3">
      <c r="A59" s="5" t="s">
        <v>335</v>
      </c>
      <c r="B59" s="5" t="s">
        <v>336</v>
      </c>
      <c r="C59" s="5" t="s">
        <v>337</v>
      </c>
      <c r="D59" s="5" t="s">
        <v>338</v>
      </c>
      <c r="E59" s="5" t="s">
        <v>56</v>
      </c>
      <c r="F59" s="5" t="s">
        <v>339</v>
      </c>
      <c r="G59" s="5" t="s">
        <v>340</v>
      </c>
      <c r="H59" s="5" t="s">
        <v>77</v>
      </c>
    </row>
    <row r="60" spans="1:8" ht="27.75" customHeight="1" x14ac:dyDescent="0.3">
      <c r="A60" s="3" t="s">
        <v>341</v>
      </c>
      <c r="B60" s="3" t="s">
        <v>342</v>
      </c>
      <c r="C60" s="3" t="s">
        <v>343</v>
      </c>
      <c r="D60" s="3" t="s">
        <v>344</v>
      </c>
      <c r="E60" s="3" t="s">
        <v>56</v>
      </c>
      <c r="F60" s="3" t="s">
        <v>345</v>
      </c>
      <c r="G60" s="3" t="s">
        <v>346</v>
      </c>
      <c r="H60" s="3" t="s">
        <v>63</v>
      </c>
    </row>
    <row r="61" spans="1:8" ht="27.75" customHeight="1" x14ac:dyDescent="0.3">
      <c r="A61" s="3" t="s">
        <v>347</v>
      </c>
      <c r="B61" s="3" t="s">
        <v>348</v>
      </c>
      <c r="C61" s="3" t="s">
        <v>349</v>
      </c>
      <c r="D61" s="3" t="s">
        <v>350</v>
      </c>
      <c r="E61" s="3" t="s">
        <v>56</v>
      </c>
      <c r="F61" s="3" t="s">
        <v>351</v>
      </c>
      <c r="G61" s="3" t="s">
        <v>352</v>
      </c>
      <c r="H61" s="3" t="s">
        <v>63</v>
      </c>
    </row>
    <row r="62" spans="1:8" ht="27.75" customHeight="1" x14ac:dyDescent="0.3">
      <c r="A62" s="6" t="s">
        <v>353</v>
      </c>
      <c r="B62" s="6" t="s">
        <v>354</v>
      </c>
      <c r="C62" s="6" t="s">
        <v>355</v>
      </c>
      <c r="D62" s="6" t="s">
        <v>356</v>
      </c>
      <c r="E62" s="6" t="s">
        <v>56</v>
      </c>
      <c r="F62" s="6" t="s">
        <v>357</v>
      </c>
      <c r="G62" s="6" t="s">
        <v>358</v>
      </c>
      <c r="H62" s="6" t="s">
        <v>177</v>
      </c>
    </row>
    <row r="63" spans="1:8" ht="41.25" customHeight="1" x14ac:dyDescent="0.3">
      <c r="A63" s="2" t="s">
        <v>359</v>
      </c>
      <c r="B63" s="2" t="s">
        <v>360</v>
      </c>
      <c r="C63" s="2" t="s">
        <v>332</v>
      </c>
      <c r="D63" s="2" t="s">
        <v>361</v>
      </c>
      <c r="E63" s="2" t="s">
        <v>86</v>
      </c>
      <c r="F63" s="2" t="s">
        <v>362</v>
      </c>
      <c r="G63" s="2" t="s">
        <v>363</v>
      </c>
      <c r="H63" s="2"/>
    </row>
    <row r="64" spans="1:8" ht="27.75" customHeight="1" x14ac:dyDescent="0.3">
      <c r="A64" s="3" t="s">
        <v>364</v>
      </c>
      <c r="B64" s="3" t="s">
        <v>365</v>
      </c>
      <c r="C64" s="3" t="s">
        <v>332</v>
      </c>
      <c r="D64" s="3" t="s">
        <v>366</v>
      </c>
      <c r="E64" s="3" t="s">
        <v>86</v>
      </c>
      <c r="F64" s="3" t="s">
        <v>367</v>
      </c>
      <c r="G64" s="3" t="s">
        <v>368</v>
      </c>
      <c r="H64" s="3" t="s">
        <v>63</v>
      </c>
    </row>
    <row r="65" spans="1:8" ht="27.75" customHeight="1" x14ac:dyDescent="0.3">
      <c r="A65" s="2" t="s">
        <v>369</v>
      </c>
      <c r="B65" s="2" t="s">
        <v>370</v>
      </c>
      <c r="C65" s="2" t="s">
        <v>332</v>
      </c>
      <c r="D65" s="2" t="s">
        <v>333</v>
      </c>
      <c r="E65" s="2" t="s">
        <v>86</v>
      </c>
      <c r="F65" s="2" t="s">
        <v>371</v>
      </c>
      <c r="G65" s="2" t="s">
        <v>372</v>
      </c>
      <c r="H65" s="2"/>
    </row>
    <row r="66" spans="1:8" ht="54.75" customHeight="1" x14ac:dyDescent="0.3">
      <c r="A66" s="2" t="s">
        <v>373</v>
      </c>
      <c r="B66" s="2" t="s">
        <v>374</v>
      </c>
      <c r="C66" s="2" t="s">
        <v>375</v>
      </c>
      <c r="D66" s="2" t="s">
        <v>376</v>
      </c>
      <c r="E66" s="2" t="s">
        <v>56</v>
      </c>
      <c r="F66" s="2" t="s">
        <v>377</v>
      </c>
      <c r="G66" s="2" t="s">
        <v>378</v>
      </c>
      <c r="H66" s="2"/>
    </row>
    <row r="67" spans="1:8" ht="54.75" customHeight="1" x14ac:dyDescent="0.3">
      <c r="A67" s="2" t="s">
        <v>379</v>
      </c>
      <c r="B67" s="2" t="s">
        <v>380</v>
      </c>
      <c r="C67" s="2" t="s">
        <v>375</v>
      </c>
      <c r="D67" s="2" t="s">
        <v>376</v>
      </c>
      <c r="E67" s="2" t="s">
        <v>56</v>
      </c>
      <c r="F67" s="2" t="s">
        <v>381</v>
      </c>
      <c r="G67" s="2" t="s">
        <v>158</v>
      </c>
      <c r="H67" s="2"/>
    </row>
    <row r="68" spans="1:8" ht="27.75" customHeight="1" x14ac:dyDescent="0.3">
      <c r="A68" s="2" t="s">
        <v>382</v>
      </c>
      <c r="B68" s="2" t="s">
        <v>383</v>
      </c>
      <c r="C68" s="2" t="s">
        <v>384</v>
      </c>
      <c r="D68" s="2" t="s">
        <v>385</v>
      </c>
      <c r="E68" s="2" t="s">
        <v>56</v>
      </c>
      <c r="F68" s="2" t="s">
        <v>386</v>
      </c>
      <c r="G68" s="2" t="s">
        <v>158</v>
      </c>
      <c r="H68" s="2"/>
    </row>
    <row r="69" spans="1:8" ht="27.75" customHeight="1" x14ac:dyDescent="0.3">
      <c r="A69" s="3" t="s">
        <v>387</v>
      </c>
      <c r="B69" s="3" t="s">
        <v>388</v>
      </c>
      <c r="C69" s="3" t="s">
        <v>389</v>
      </c>
      <c r="D69" s="3" t="s">
        <v>390</v>
      </c>
      <c r="E69" s="3" t="s">
        <v>56</v>
      </c>
      <c r="F69" s="3" t="s">
        <v>391</v>
      </c>
      <c r="G69" s="3" t="s">
        <v>392</v>
      </c>
      <c r="H69" s="3" t="s">
        <v>63</v>
      </c>
    </row>
    <row r="70" spans="1:8" ht="27.75" customHeight="1" x14ac:dyDescent="0.3">
      <c r="A70" s="3" t="s">
        <v>393</v>
      </c>
      <c r="B70" s="3" t="s">
        <v>394</v>
      </c>
      <c r="C70" s="3" t="s">
        <v>395</v>
      </c>
      <c r="D70" s="3" t="s">
        <v>385</v>
      </c>
      <c r="E70" s="3" t="s">
        <v>56</v>
      </c>
      <c r="F70" s="3" t="s">
        <v>396</v>
      </c>
      <c r="G70" s="3" t="s">
        <v>397</v>
      </c>
      <c r="H70" s="3" t="s">
        <v>63</v>
      </c>
    </row>
    <row r="71" spans="1:8" ht="41.25" customHeight="1" x14ac:dyDescent="0.3">
      <c r="A71" s="2" t="s">
        <v>398</v>
      </c>
      <c r="B71" s="2" t="s">
        <v>399</v>
      </c>
      <c r="C71" s="2" t="s">
        <v>375</v>
      </c>
      <c r="D71" s="2" t="s">
        <v>376</v>
      </c>
      <c r="E71" s="2" t="s">
        <v>56</v>
      </c>
      <c r="F71" s="2" t="s">
        <v>400</v>
      </c>
      <c r="G71" s="2" t="s">
        <v>158</v>
      </c>
      <c r="H71" s="2"/>
    </row>
    <row r="72" spans="1:8" ht="27.75" customHeight="1" x14ac:dyDescent="0.3">
      <c r="A72" s="2" t="s">
        <v>401</v>
      </c>
      <c r="B72" s="2" t="s">
        <v>402</v>
      </c>
      <c r="C72" s="2" t="s">
        <v>375</v>
      </c>
      <c r="D72" s="2" t="s">
        <v>376</v>
      </c>
      <c r="E72" s="2" t="s">
        <v>56</v>
      </c>
      <c r="F72" s="2" t="s">
        <v>403</v>
      </c>
      <c r="G72" s="2" t="s">
        <v>404</v>
      </c>
      <c r="H72" s="2"/>
    </row>
    <row r="73" spans="1:8" ht="27.75" customHeight="1" x14ac:dyDescent="0.3">
      <c r="A73" s="2" t="s">
        <v>405</v>
      </c>
      <c r="B73" s="2" t="s">
        <v>406</v>
      </c>
      <c r="C73" s="2" t="s">
        <v>375</v>
      </c>
      <c r="D73" s="2" t="s">
        <v>376</v>
      </c>
      <c r="E73" s="2" t="s">
        <v>56</v>
      </c>
      <c r="F73" s="2" t="s">
        <v>407</v>
      </c>
      <c r="G73" s="2" t="s">
        <v>408</v>
      </c>
      <c r="H73" s="2"/>
    </row>
    <row r="74" spans="1:8" ht="27.75" customHeight="1" x14ac:dyDescent="0.3">
      <c r="A74" s="4" t="s">
        <v>409</v>
      </c>
      <c r="B74" s="4" t="s">
        <v>410</v>
      </c>
      <c r="C74" s="4" t="s">
        <v>411</v>
      </c>
      <c r="D74" s="4" t="s">
        <v>390</v>
      </c>
      <c r="E74" s="4" t="s">
        <v>56</v>
      </c>
      <c r="F74" s="4" t="s">
        <v>412</v>
      </c>
      <c r="G74" s="4" t="s">
        <v>413</v>
      </c>
      <c r="H74" s="4" t="s">
        <v>70</v>
      </c>
    </row>
    <row r="75" spans="1:8" ht="27.75" customHeight="1" x14ac:dyDescent="0.3">
      <c r="A75" s="2" t="s">
        <v>414</v>
      </c>
      <c r="B75" s="2" t="s">
        <v>415</v>
      </c>
      <c r="C75" s="2" t="s">
        <v>375</v>
      </c>
      <c r="D75" s="2" t="s">
        <v>376</v>
      </c>
      <c r="E75" s="2" t="s">
        <v>56</v>
      </c>
      <c r="F75" s="2" t="s">
        <v>416</v>
      </c>
      <c r="G75" s="2" t="s">
        <v>158</v>
      </c>
      <c r="H75" s="2"/>
    </row>
    <row r="76" spans="1:8" ht="27.75" customHeight="1" x14ac:dyDescent="0.3">
      <c r="A76" s="2" t="s">
        <v>417</v>
      </c>
      <c r="B76" s="2" t="s">
        <v>418</v>
      </c>
      <c r="C76" s="2" t="s">
        <v>375</v>
      </c>
      <c r="D76" s="2" t="s">
        <v>376</v>
      </c>
      <c r="E76" s="2" t="s">
        <v>81</v>
      </c>
      <c r="F76" s="2" t="s">
        <v>419</v>
      </c>
      <c r="G76" s="2" t="s">
        <v>196</v>
      </c>
      <c r="H76" s="2"/>
    </row>
    <row r="77" spans="1:8" ht="41.25" customHeight="1" x14ac:dyDescent="0.3">
      <c r="A77" s="3" t="s">
        <v>420</v>
      </c>
      <c r="B77" s="3" t="s">
        <v>421</v>
      </c>
      <c r="C77" s="3" t="s">
        <v>375</v>
      </c>
      <c r="D77" s="3" t="s">
        <v>376</v>
      </c>
      <c r="E77" s="3" t="s">
        <v>81</v>
      </c>
      <c r="F77" s="3" t="s">
        <v>422</v>
      </c>
      <c r="G77" s="3" t="s">
        <v>423</v>
      </c>
      <c r="H77" s="3" t="s">
        <v>63</v>
      </c>
    </row>
    <row r="78" spans="1:8" ht="27.75" customHeight="1" x14ac:dyDescent="0.3">
      <c r="A78" s="2" t="s">
        <v>424</v>
      </c>
      <c r="B78" s="2" t="s">
        <v>425</v>
      </c>
      <c r="C78" s="2" t="s">
        <v>375</v>
      </c>
      <c r="D78" s="2" t="s">
        <v>376</v>
      </c>
      <c r="E78" s="2" t="s">
        <v>86</v>
      </c>
      <c r="F78" s="2" t="s">
        <v>426</v>
      </c>
      <c r="G78" s="2" t="s">
        <v>427</v>
      </c>
      <c r="H78" s="2"/>
    </row>
    <row r="79" spans="1:8" ht="41.25" customHeight="1" x14ac:dyDescent="0.3">
      <c r="A79" s="2" t="s">
        <v>428</v>
      </c>
      <c r="B79" s="2" t="s">
        <v>429</v>
      </c>
      <c r="C79" s="2" t="s">
        <v>430</v>
      </c>
      <c r="D79" s="2" t="s">
        <v>376</v>
      </c>
      <c r="E79" s="2" t="s">
        <v>86</v>
      </c>
      <c r="F79" s="2" t="s">
        <v>431</v>
      </c>
      <c r="G79" s="2" t="s">
        <v>432</v>
      </c>
      <c r="H79" s="2"/>
    </row>
    <row r="80" spans="1:8" ht="27.75" customHeight="1" x14ac:dyDescent="0.3">
      <c r="A80" s="2" t="s">
        <v>433</v>
      </c>
      <c r="B80" s="2" t="s">
        <v>434</v>
      </c>
      <c r="C80" s="2" t="s">
        <v>375</v>
      </c>
      <c r="D80" s="2" t="s">
        <v>376</v>
      </c>
      <c r="E80" s="2" t="s">
        <v>86</v>
      </c>
      <c r="F80" s="2" t="s">
        <v>435</v>
      </c>
      <c r="G80" s="2" t="s">
        <v>436</v>
      </c>
      <c r="H80" s="2"/>
    </row>
    <row r="81" spans="1:8" ht="27.75" customHeight="1" x14ac:dyDescent="0.3">
      <c r="A81" s="3" t="s">
        <v>437</v>
      </c>
      <c r="B81" s="3" t="s">
        <v>438</v>
      </c>
      <c r="C81" s="3" t="s">
        <v>375</v>
      </c>
      <c r="D81" s="3" t="s">
        <v>376</v>
      </c>
      <c r="E81" s="3" t="s">
        <v>86</v>
      </c>
      <c r="F81" s="3" t="s">
        <v>439</v>
      </c>
      <c r="G81" s="3" t="s">
        <v>440</v>
      </c>
      <c r="H81" s="3" t="s">
        <v>63</v>
      </c>
    </row>
    <row r="82" spans="1:8" ht="27.75" customHeight="1" x14ac:dyDescent="0.3">
      <c r="A82" s="2" t="s">
        <v>441</v>
      </c>
      <c r="B82" s="2" t="s">
        <v>442</v>
      </c>
      <c r="C82" s="2" t="s">
        <v>375</v>
      </c>
      <c r="D82" s="2" t="s">
        <v>376</v>
      </c>
      <c r="E82" s="2" t="s">
        <v>86</v>
      </c>
      <c r="F82" s="2" t="s">
        <v>443</v>
      </c>
      <c r="G82" s="2" t="s">
        <v>444</v>
      </c>
      <c r="H82" s="2"/>
    </row>
    <row r="83" spans="1:8" ht="27.75" customHeight="1" x14ac:dyDescent="0.3">
      <c r="A83" s="3" t="s">
        <v>445</v>
      </c>
      <c r="B83" s="3" t="s">
        <v>446</v>
      </c>
      <c r="C83" s="3" t="s">
        <v>375</v>
      </c>
      <c r="D83" s="3" t="s">
        <v>376</v>
      </c>
      <c r="E83" s="3" t="s">
        <v>86</v>
      </c>
      <c r="F83" s="3" t="s">
        <v>447</v>
      </c>
      <c r="G83" s="3" t="s">
        <v>448</v>
      </c>
      <c r="H83" s="3" t="s">
        <v>63</v>
      </c>
    </row>
    <row r="84" spans="1:8" ht="41.25" customHeight="1" x14ac:dyDescent="0.3">
      <c r="A84" s="3" t="s">
        <v>449</v>
      </c>
      <c r="B84" s="3" t="s">
        <v>450</v>
      </c>
      <c r="C84" s="3" t="s">
        <v>375</v>
      </c>
      <c r="D84" s="3" t="s">
        <v>376</v>
      </c>
      <c r="E84" s="3" t="s">
        <v>451</v>
      </c>
      <c r="F84" s="3" t="s">
        <v>452</v>
      </c>
      <c r="G84" s="3" t="s">
        <v>453</v>
      </c>
      <c r="H84" s="3" t="s">
        <v>63</v>
      </c>
    </row>
    <row r="85" spans="1:8" ht="54.75" customHeight="1" x14ac:dyDescent="0.3">
      <c r="A85" s="3" t="s">
        <v>454</v>
      </c>
      <c r="B85" s="3" t="s">
        <v>455</v>
      </c>
      <c r="C85" s="3" t="s">
        <v>456</v>
      </c>
      <c r="D85" s="3" t="s">
        <v>376</v>
      </c>
      <c r="E85" s="3" t="s">
        <v>457</v>
      </c>
      <c r="F85" s="3" t="s">
        <v>458</v>
      </c>
      <c r="G85" s="3" t="s">
        <v>459</v>
      </c>
      <c r="H85" s="3" t="s">
        <v>460</v>
      </c>
    </row>
    <row r="86" spans="1:8" ht="27.75" customHeight="1" x14ac:dyDescent="0.3">
      <c r="A86" s="3" t="s">
        <v>461</v>
      </c>
      <c r="B86" s="3" t="s">
        <v>462</v>
      </c>
      <c r="C86" s="3" t="s">
        <v>375</v>
      </c>
      <c r="D86" s="3" t="s">
        <v>376</v>
      </c>
      <c r="E86" s="3" t="s">
        <v>86</v>
      </c>
      <c r="F86" s="3" t="s">
        <v>463</v>
      </c>
      <c r="G86" s="3" t="s">
        <v>464</v>
      </c>
      <c r="H86" s="3" t="s">
        <v>63</v>
      </c>
    </row>
    <row r="87" spans="1:8" ht="15" customHeight="1" x14ac:dyDescent="0.3">
      <c r="A87" s="2" t="s">
        <v>465</v>
      </c>
      <c r="B87" s="2" t="s">
        <v>466</v>
      </c>
      <c r="C87" s="2" t="s">
        <v>375</v>
      </c>
      <c r="D87" s="2" t="s">
        <v>376</v>
      </c>
      <c r="E87" s="2" t="s">
        <v>86</v>
      </c>
      <c r="F87" s="2" t="s">
        <v>467</v>
      </c>
      <c r="G87" s="2" t="s">
        <v>196</v>
      </c>
      <c r="H87" s="2"/>
    </row>
    <row r="88" spans="1:8" ht="41.25" customHeight="1" x14ac:dyDescent="0.3">
      <c r="A88" s="2" t="s">
        <v>468</v>
      </c>
      <c r="B88" s="2" t="s">
        <v>469</v>
      </c>
      <c r="C88" s="2" t="s">
        <v>375</v>
      </c>
      <c r="D88" s="2" t="s">
        <v>470</v>
      </c>
      <c r="E88" s="2" t="s">
        <v>111</v>
      </c>
      <c r="F88" s="2" t="s">
        <v>471</v>
      </c>
      <c r="G88" s="2" t="s">
        <v>472</v>
      </c>
      <c r="H88" s="2"/>
    </row>
    <row r="89" spans="1:8" ht="41.25" customHeight="1" x14ac:dyDescent="0.3">
      <c r="A89" s="2" t="s">
        <v>473</v>
      </c>
      <c r="B89" s="2" t="s">
        <v>474</v>
      </c>
      <c r="C89" s="2" t="s">
        <v>375</v>
      </c>
      <c r="D89" s="2" t="s">
        <v>376</v>
      </c>
      <c r="E89" s="2" t="s">
        <v>111</v>
      </c>
      <c r="F89" s="2" t="s">
        <v>475</v>
      </c>
      <c r="G89" s="2" t="s">
        <v>476</v>
      </c>
      <c r="H89" s="2"/>
    </row>
    <row r="90" spans="1:8" ht="27.75" customHeight="1" x14ac:dyDescent="0.3">
      <c r="A90" s="2" t="s">
        <v>477</v>
      </c>
      <c r="B90" s="2" t="s">
        <v>478</v>
      </c>
      <c r="C90" s="2" t="s">
        <v>375</v>
      </c>
      <c r="D90" s="2" t="s">
        <v>376</v>
      </c>
      <c r="E90" s="2" t="s">
        <v>111</v>
      </c>
      <c r="F90" s="2" t="s">
        <v>479</v>
      </c>
      <c r="G90" s="2" t="s">
        <v>480</v>
      </c>
      <c r="H90" s="2"/>
    </row>
    <row r="91" spans="1:8" ht="27.75" customHeight="1" x14ac:dyDescent="0.3">
      <c r="A91" s="6" t="s">
        <v>481</v>
      </c>
      <c r="B91" s="6" t="s">
        <v>482</v>
      </c>
      <c r="C91" s="6" t="s">
        <v>375</v>
      </c>
      <c r="D91" s="6" t="s">
        <v>376</v>
      </c>
      <c r="E91" s="6" t="s">
        <v>111</v>
      </c>
      <c r="F91" s="6" t="s">
        <v>483</v>
      </c>
      <c r="G91" s="6" t="s">
        <v>484</v>
      </c>
      <c r="H91" s="6" t="s">
        <v>177</v>
      </c>
    </row>
    <row r="92" spans="1:8" ht="27.75" customHeight="1" x14ac:dyDescent="0.3">
      <c r="A92" s="2" t="s">
        <v>485</v>
      </c>
      <c r="B92" s="2" t="s">
        <v>486</v>
      </c>
      <c r="C92" s="2" t="s">
        <v>375</v>
      </c>
      <c r="D92" s="2" t="s">
        <v>376</v>
      </c>
      <c r="E92" s="2" t="s">
        <v>111</v>
      </c>
      <c r="F92" s="2" t="s">
        <v>487</v>
      </c>
      <c r="G92" s="2" t="s">
        <v>488</v>
      </c>
      <c r="H92" s="2"/>
    </row>
    <row r="93" spans="1:8" ht="27.75" customHeight="1" x14ac:dyDescent="0.3">
      <c r="A93" s="2" t="s">
        <v>489</v>
      </c>
      <c r="B93" s="2" t="s">
        <v>490</v>
      </c>
      <c r="C93" s="2" t="s">
        <v>375</v>
      </c>
      <c r="D93" s="2" t="s">
        <v>376</v>
      </c>
      <c r="E93" s="2" t="s">
        <v>111</v>
      </c>
      <c r="F93" s="2" t="s">
        <v>491</v>
      </c>
      <c r="G93" s="2" t="s">
        <v>492</v>
      </c>
      <c r="H93" s="2"/>
    </row>
    <row r="94" spans="1:8" ht="27.75" customHeight="1" x14ac:dyDescent="0.3">
      <c r="A94" s="6" t="s">
        <v>493</v>
      </c>
      <c r="B94" s="6" t="s">
        <v>494</v>
      </c>
      <c r="C94" s="6" t="s">
        <v>495</v>
      </c>
      <c r="D94" s="6" t="s">
        <v>470</v>
      </c>
      <c r="E94" s="6" t="s">
        <v>111</v>
      </c>
      <c r="F94" s="6" t="s">
        <v>496</v>
      </c>
      <c r="G94" s="6" t="s">
        <v>497</v>
      </c>
      <c r="H94" s="6" t="s">
        <v>177</v>
      </c>
    </row>
    <row r="95" spans="1:8" ht="27.75" customHeight="1" x14ac:dyDescent="0.3">
      <c r="A95" s="2" t="s">
        <v>498</v>
      </c>
      <c r="B95" s="2" t="s">
        <v>499</v>
      </c>
      <c r="C95" s="2" t="s">
        <v>500</v>
      </c>
      <c r="D95" s="2" t="s">
        <v>501</v>
      </c>
      <c r="E95" s="2" t="s">
        <v>111</v>
      </c>
      <c r="F95" s="2" t="s">
        <v>502</v>
      </c>
      <c r="G95" s="2" t="s">
        <v>503</v>
      </c>
      <c r="H95" s="2"/>
    </row>
    <row r="96" spans="1:8" ht="15" customHeight="1" x14ac:dyDescent="0.3"/>
    <row r="97" ht="15" customHeight="1" x14ac:dyDescent="0.3"/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7"/>
  <sheetViews>
    <sheetView zoomScaleNormal="100" workbookViewId="0"/>
  </sheetViews>
  <sheetFormatPr defaultColWidth="8.6640625" defaultRowHeight="14.4" x14ac:dyDescent="0.3"/>
  <cols>
    <col min="1" max="1" width="24" customWidth="1"/>
    <col min="2" max="2" width="14" customWidth="1"/>
  </cols>
  <sheetData>
    <row r="1" spans="1:2" ht="15" customHeight="1" x14ac:dyDescent="0.3">
      <c r="A1" s="7" t="s">
        <v>504</v>
      </c>
    </row>
    <row r="3" spans="1:2" ht="15" customHeight="1" x14ac:dyDescent="0.3">
      <c r="A3" s="7" t="s">
        <v>505</v>
      </c>
      <c r="B3" s="7" t="s">
        <v>506</v>
      </c>
    </row>
    <row r="4" spans="1:2" ht="15" customHeight="1" x14ac:dyDescent="0.3">
      <c r="A4" t="s">
        <v>507</v>
      </c>
      <c r="B4">
        <f>COUNTIF(Organizations!E2:E95,"*DV/SV*")</f>
        <v>39</v>
      </c>
    </row>
    <row r="5" spans="1:2" ht="15" customHeight="1" x14ac:dyDescent="0.3">
      <c r="A5" t="s">
        <v>508</v>
      </c>
      <c r="B5">
        <f>COUNTIF(Organizations!E2:E95,"*Housing*")</f>
        <v>51</v>
      </c>
    </row>
    <row r="6" spans="1:2" ht="15" customHeight="1" x14ac:dyDescent="0.3">
      <c r="A6" t="s">
        <v>509</v>
      </c>
      <c r="B6">
        <f>COUNTIF(Organizations!E2:E95,"*Maternal*")</f>
        <v>11</v>
      </c>
    </row>
    <row r="7" spans="1:2" ht="15" customHeight="1" x14ac:dyDescent="0.3">
      <c r="A7" t="s">
        <v>510</v>
      </c>
      <c r="B7">
        <f>COUNTA(Organizations!A2:A95)</f>
        <v>94</v>
      </c>
    </row>
    <row r="9" spans="1:2" ht="15" customHeight="1" x14ac:dyDescent="0.3">
      <c r="A9" s="7" t="s">
        <v>511</v>
      </c>
    </row>
    <row r="11" spans="1:2" ht="15" customHeight="1" x14ac:dyDescent="0.3">
      <c r="A11" s="7" t="s">
        <v>47</v>
      </c>
      <c r="B11" s="7" t="s">
        <v>506</v>
      </c>
    </row>
    <row r="12" spans="1:2" ht="15" customHeight="1" x14ac:dyDescent="0.3">
      <c r="A12" t="s">
        <v>55</v>
      </c>
      <c r="B12">
        <f>COUNTIF(Organizations!D2:D95,"*Lane*")</f>
        <v>10</v>
      </c>
    </row>
    <row r="13" spans="1:2" ht="15" customHeight="1" x14ac:dyDescent="0.3">
      <c r="A13" t="s">
        <v>117</v>
      </c>
      <c r="B13">
        <f>COUNTIF(Organizations!D2:D95,"*Benton*")</f>
        <v>7</v>
      </c>
    </row>
    <row r="14" spans="1:2" ht="15" customHeight="1" x14ac:dyDescent="0.3">
      <c r="A14" t="s">
        <v>150</v>
      </c>
      <c r="B14">
        <f>COUNTIF(Organizations!D2:D95,"*Linn*")</f>
        <v>4</v>
      </c>
    </row>
    <row r="15" spans="1:2" ht="15" customHeight="1" x14ac:dyDescent="0.3">
      <c r="A15" t="s">
        <v>156</v>
      </c>
      <c r="B15">
        <f>COUNTIF(Organizations!D2:D95,"*Marion*")</f>
        <v>10</v>
      </c>
    </row>
    <row r="16" spans="1:2" ht="15" customHeight="1" x14ac:dyDescent="0.3">
      <c r="A16" t="s">
        <v>162</v>
      </c>
      <c r="B16">
        <f>COUNTIF(Organizations!D2:D95,"*Polk*")</f>
        <v>8</v>
      </c>
    </row>
    <row r="17" spans="1:2" ht="15" customHeight="1" x14ac:dyDescent="0.3">
      <c r="A17" t="s">
        <v>168</v>
      </c>
      <c r="B17">
        <f>COUNTIF(Organizations!D2:D95,"*Yamhill*")</f>
        <v>3</v>
      </c>
    </row>
    <row r="18" spans="1:2" ht="15" customHeight="1" x14ac:dyDescent="0.3">
      <c r="A18" t="s">
        <v>237</v>
      </c>
      <c r="B18">
        <f>COUNTIF(Organizations!D2:D95,"*Deschutes*")</f>
        <v>9</v>
      </c>
    </row>
    <row r="19" spans="1:2" ht="15" customHeight="1" x14ac:dyDescent="0.3">
      <c r="A19" t="s">
        <v>273</v>
      </c>
      <c r="B19">
        <f>COUNTIF(Organizations!D2:D95,"*Jackson*")</f>
        <v>7</v>
      </c>
    </row>
    <row r="20" spans="1:2" ht="15" customHeight="1" x14ac:dyDescent="0.3">
      <c r="A20" t="s">
        <v>279</v>
      </c>
      <c r="B20">
        <f>COUNTIF(Organizations!D2:D95,"*Josephine*")</f>
        <v>3</v>
      </c>
    </row>
    <row r="21" spans="1:2" ht="15" customHeight="1" x14ac:dyDescent="0.3">
      <c r="A21" t="s">
        <v>301</v>
      </c>
      <c r="B21">
        <f>COUNTIF(Organizations!D2:D95,"*Klamath*")</f>
        <v>1</v>
      </c>
    </row>
    <row r="22" spans="1:2" ht="15" customHeight="1" x14ac:dyDescent="0.3">
      <c r="A22" t="s">
        <v>285</v>
      </c>
      <c r="B22">
        <f>COUNTIF(Organizations!D2:D95,"*Lake*")</f>
        <v>2</v>
      </c>
    </row>
    <row r="23" spans="1:2" ht="15" customHeight="1" x14ac:dyDescent="0.3">
      <c r="A23" t="s">
        <v>333</v>
      </c>
      <c r="B23">
        <f>COUNTIF(Organizations!D2:D95,"*Union*")</f>
        <v>4</v>
      </c>
    </row>
    <row r="24" spans="1:2" ht="15" customHeight="1" x14ac:dyDescent="0.3">
      <c r="A24" t="s">
        <v>512</v>
      </c>
      <c r="B24">
        <f>COUNTIF(Organizations!D2:D95,"*Umatilla*")</f>
        <v>1</v>
      </c>
    </row>
    <row r="25" spans="1:2" ht="15" customHeight="1" x14ac:dyDescent="0.3">
      <c r="A25" t="s">
        <v>376</v>
      </c>
      <c r="B25">
        <f>COUNTIF(Organizations!D2:D95,"*Multnomah*")</f>
        <v>25</v>
      </c>
    </row>
    <row r="26" spans="1:2" ht="15" customHeight="1" x14ac:dyDescent="0.3">
      <c r="A26" t="s">
        <v>385</v>
      </c>
      <c r="B26">
        <f>COUNTIF(Organizations!D2:D95,"*Washington*")</f>
        <v>2</v>
      </c>
    </row>
    <row r="27" spans="1:2" ht="15" customHeight="1" x14ac:dyDescent="0.3">
      <c r="A27" t="s">
        <v>390</v>
      </c>
      <c r="B27">
        <f>COUNTIF(Organizations!D2:D95,"*Clackamas*")</f>
        <v>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Organizations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Nelson, Shelley</cp:lastModifiedBy>
  <cp:revision>0</cp:revision>
  <dcterms:created xsi:type="dcterms:W3CDTF">2026-04-29T04:23:51Z</dcterms:created>
  <dcterms:modified xsi:type="dcterms:W3CDTF">2026-04-29T04:31:55Z</dcterms:modified>
  <dc:language>en-US</dc:language>
</cp:coreProperties>
</file>